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Sales_Data" sheetId="2" state="visible" r:id="rId2"/>
    <sheet xmlns:r="http://schemas.openxmlformats.org/officeDocument/2006/relationships" name="Product_Lookup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Formula_Lab" sheetId="5" state="visible" r:id="rId5"/>
    <sheet xmlns:r="http://schemas.openxmlformats.org/officeDocument/2006/relationships" name="Dashboard" sheetId="6" state="visible" r:id="rId6"/>
  </sheets>
  <definedNames>
    <definedName name="_xlnm._FilterDatabase" localSheetId="1" hidden="1">'Sales_Data'!$A$1:$M$401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&quot;$&quot;#,##0.00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5"/>
    </font>
    <font>
      <b val="1"/>
      <color rgb="001F4E78"/>
    </font>
    <font>
      <b val="1"/>
      <color rgb="00FFFFFF"/>
      <sz val="16"/>
    </font>
    <font>
      <i val="1"/>
      <color rgb="00666666"/>
    </font>
    <font>
      <b val="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1" fillId="2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1" fillId="4" borderId="0" pivotButton="0" quotePrefix="0" xfId="0"/>
    <xf numFmtId="0" fontId="6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SalesTable" displayName="SalesTable" ref="A1:M401" headerRowCount="1">
  <autoFilter ref="A1:M401"/>
  <tableColumns count="13">
    <tableColumn id="1" name="Order_ID"/>
    <tableColumn id="2" name="Order_Date"/>
    <tableColumn id="3" name="Customer_ID"/>
    <tableColumn id="4" name="Product_ID"/>
    <tableColumn id="5" name="Product_Name"/>
    <tableColumn id="6" name="Category"/>
    <tableColumn id="7" name="Region"/>
    <tableColumn id="8" name="Sales_Channel"/>
    <tableColumn id="9" name="Salesperson"/>
    <tableColumn id="10" name="Quantity"/>
    <tableColumn id="11" name="Unit_Price"/>
    <tableColumn id="12" name="Discount_Rate"/>
    <tableColumn id="13" name="Order_Statu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ProductTable" displayName="ProductTable" ref="A1:E16" headerRowCount="1">
  <autoFilter ref="A1:E16"/>
  <tableColumns count="5">
    <tableColumn id="1" name="Product_ID"/>
    <tableColumn id="2" name="Product_Name"/>
    <tableColumn id="3" name="Category"/>
    <tableColumn id="4" name="Unit_Cost"/>
    <tableColumn id="5" name="List_Price"/>
  </tableColumns>
  <tableStyleInfo name="TableStyleMedium4" showRowStripes="1"/>
</table>
</file>

<file path=xl/tables/table3.xml><?xml version="1.0" encoding="utf-8"?>
<table xmlns="http://schemas.openxmlformats.org/spreadsheetml/2006/main" id="3" name="TargetTable" displayName="TargetTable" ref="A1:C6" headerRowCount="1">
  <autoFilter ref="A1:C6"/>
  <tableColumns count="3">
    <tableColumn id="1" name="Region"/>
    <tableColumn id="2" name="Annual_Sales_Target"/>
    <tableColumn id="3" name="Annual_Profit_Target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5" customWidth="1" min="2" max="2"/>
  </cols>
  <sheetData>
    <row r="1" ht="32" customHeight="1">
      <c r="A1" s="1" t="inlineStr">
        <is>
          <t>RETAIL SALES &amp; PROFITABILITY DASHBOARD — PROJECT STARTER</t>
        </is>
      </c>
    </row>
    <row r="2" ht="32" customHeight="1">
      <c r="A2" s="2" t="inlineStr">
        <is>
          <t>Goal</t>
        </is>
      </c>
      <c r="B2" s="3" t="inlineStr">
        <is>
          <t>Build an end-to-end Excel analysis project and publish the workbook plus documentation on GitHub.</t>
        </is>
      </c>
    </row>
    <row r="3" ht="32" customHeight="1">
      <c r="A3" s="2" t="inlineStr">
        <is>
          <t>Dataset</t>
        </is>
      </c>
      <c r="B3" s="3" t="inlineStr">
        <is>
          <t>400 synthetic retail transactions for calendar year 2025. No real customer data is included.</t>
        </is>
      </c>
    </row>
    <row r="4" ht="32" customHeight="1">
      <c r="A4" s="2" t="inlineStr">
        <is>
          <t>Workbook tabs</t>
        </is>
      </c>
      <c r="B4" s="3" t="inlineStr">
        <is>
          <t>Sales_Data = transactions; Product_Lookup = product costs/prices; Targets = regional targets; Formula_Lab = guided exercises.</t>
        </is>
      </c>
    </row>
    <row r="5" ht="32" customHeight="1">
      <c r="A5" s="2" t="inlineStr">
        <is>
          <t>Important</t>
        </is>
      </c>
      <c r="B5" s="3" t="inlineStr">
        <is>
          <t>The raw dataset intentionally has no calculated Net_Sales or Gross_Profit columns. You will add them as part of the project.</t>
        </is>
      </c>
    </row>
    <row r="6" ht="32" customHeight="1">
      <c r="A6" s="2" t="inlineStr">
        <is>
          <t>Step 1</t>
        </is>
      </c>
      <c r="B6" s="3" t="inlineStr">
        <is>
          <t>Save a working copy before editing. Keep the original Sales_Data sheet intact.</t>
        </is>
      </c>
    </row>
    <row r="7" ht="32" customHeight="1">
      <c r="A7" s="2" t="inlineStr">
        <is>
          <t>Step 2</t>
        </is>
      </c>
      <c r="B7" s="3" t="inlineStr">
        <is>
          <t>Convert/check Sales_Data as an Excel Table named SalesTable. Product_Lookup is ProductTable.</t>
        </is>
      </c>
    </row>
    <row r="8" ht="32" customHeight="1">
      <c r="A8" s="2" t="inlineStr">
        <is>
          <t>Step 3</t>
        </is>
      </c>
      <c r="B8" s="3" t="inlineStr">
        <is>
          <t>Add calculated columns: Unit_Cost, Net_Sales, Gross_Profit, Profit_Margin, Month, Review_Flag.</t>
        </is>
      </c>
    </row>
    <row r="9" ht="32" customHeight="1">
      <c r="A9" s="2" t="inlineStr">
        <is>
          <t>Step 4</t>
        </is>
      </c>
      <c r="B9" s="3" t="inlineStr">
        <is>
          <t>Use XLOOKUP or INDEX/MATCH to retrieve Unit_Cost by Product_ID.</t>
        </is>
      </c>
    </row>
    <row r="10" ht="32" customHeight="1">
      <c r="A10" s="2" t="inlineStr">
        <is>
          <t>Step 5</t>
        </is>
      </c>
      <c r="B10" s="3" t="inlineStr">
        <is>
          <t>Use SUMIFS/COUNTIFS to answer the questions in Formula_Lab.</t>
        </is>
      </c>
    </row>
    <row r="11" ht="32" customHeight="1">
      <c r="A11" s="2" t="inlineStr">
        <is>
          <t>Step 6</t>
        </is>
      </c>
      <c r="B11" s="3" t="inlineStr">
        <is>
          <t>Create PivotTables by Region, Category, Month, Sales_Channel, and Salesperson.</t>
        </is>
      </c>
    </row>
    <row r="12" ht="32" customHeight="1">
      <c r="A12" s="2" t="inlineStr">
        <is>
          <t>Step 7</t>
        </is>
      </c>
      <c r="B12" s="3" t="inlineStr">
        <is>
          <t>Create a Dashboard sheet with KPI cards, monthly sales trend, sales by region, profit by category, and slicers.</t>
        </is>
      </c>
    </row>
    <row r="13" ht="32" customHeight="1">
      <c r="A13" s="2" t="inlineStr">
        <is>
          <t>Step 8</t>
        </is>
      </c>
      <c r="B13" s="3" t="inlineStr">
        <is>
          <t>Use Goal Seek or a What-If scenario to estimate sales needed for a profit target.</t>
        </is>
      </c>
    </row>
    <row r="14" ht="32" customHeight="1">
      <c r="A14" s="2" t="inlineStr">
        <is>
          <t>Step 9</t>
        </is>
      </c>
      <c r="B14" s="3" t="inlineStr">
        <is>
          <t>Write 5 evidence-based business recommendations. Do not invent findings; calculate them from the workbook.</t>
        </is>
      </c>
    </row>
    <row r="15" ht="32" customHeight="1">
      <c r="A15" s="2" t="inlineStr">
        <is>
          <t>Step 10</t>
        </is>
      </c>
      <c r="B15" s="3" t="inlineStr">
        <is>
          <t>Upload the final .xlsx, README.md, and dashboard screenshots to a public GitHub repository.</t>
        </is>
      </c>
    </row>
    <row r="16" ht="32" customHeight="1">
      <c r="A16" s="2" t="inlineStr">
        <is>
          <t>Privacy</t>
        </is>
      </c>
      <c r="B16" s="3" t="inlineStr">
        <is>
          <t>This is synthetic practice data. Never upload private company/customer data without permission.</t>
        </is>
      </c>
    </row>
    <row r="17" ht="32" customHeight="1">
      <c r="A17" s="2" t="inlineStr">
        <is>
          <t>Excel version</t>
        </is>
      </c>
      <c r="B17" s="3" t="inlineStr">
        <is>
          <t>XLOOKUP is available in modern Excel. If unavailable, use INDEX + MATCH instead.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24" customWidth="1" min="5" max="5"/>
    <col width="16" customWidth="1" min="6" max="6"/>
    <col width="14" customWidth="1" min="7" max="7"/>
    <col width="18" customWidth="1" min="8" max="8"/>
    <col width="16" customWidth="1" min="9" max="9"/>
    <col width="12" customWidth="1" min="10" max="10"/>
    <col width="14" customWidth="1" min="11" max="11"/>
    <col width="14" customWidth="1" min="12" max="12"/>
    <col width="16" customWidth="1" min="13" max="13"/>
  </cols>
  <sheetData>
    <row r="1">
      <c r="A1" s="4" t="inlineStr">
        <is>
          <t>Order_ID</t>
        </is>
      </c>
      <c r="B1" s="4" t="inlineStr">
        <is>
          <t>Order_Date</t>
        </is>
      </c>
      <c r="C1" s="4" t="inlineStr">
        <is>
          <t>Customer_ID</t>
        </is>
      </c>
      <c r="D1" s="4" t="inlineStr">
        <is>
          <t>Product_ID</t>
        </is>
      </c>
      <c r="E1" s="4" t="inlineStr">
        <is>
          <t>Product_Name</t>
        </is>
      </c>
      <c r="F1" s="4" t="inlineStr">
        <is>
          <t>Category</t>
        </is>
      </c>
      <c r="G1" s="4" t="inlineStr">
        <is>
          <t>Region</t>
        </is>
      </c>
      <c r="H1" s="4" t="inlineStr">
        <is>
          <t>Sales_Channel</t>
        </is>
      </c>
      <c r="I1" s="4" t="inlineStr">
        <is>
          <t>Salesperson</t>
        </is>
      </c>
      <c r="J1" s="4" t="inlineStr">
        <is>
          <t>Quantity</t>
        </is>
      </c>
      <c r="K1" s="4" t="inlineStr">
        <is>
          <t>Unit_Price</t>
        </is>
      </c>
      <c r="L1" s="4" t="inlineStr">
        <is>
          <t>Discount_Rate</t>
        </is>
      </c>
      <c r="M1" s="4" t="inlineStr">
        <is>
          <t>Order_Status</t>
        </is>
      </c>
    </row>
    <row r="2">
      <c r="A2" t="inlineStr">
        <is>
          <t>ORD0001</t>
        </is>
      </c>
      <c r="B2" s="5" t="n">
        <v>45715</v>
      </c>
      <c r="C2" t="inlineStr">
        <is>
          <t>CUST1031</t>
        </is>
      </c>
      <c r="D2" t="inlineStr">
        <is>
          <t>P1011</t>
        </is>
      </c>
      <c r="E2" t="inlineStr">
        <is>
          <t>Pen Set</t>
        </is>
      </c>
      <c r="F2" t="inlineStr">
        <is>
          <t>Stationery</t>
        </is>
      </c>
      <c r="G2" t="inlineStr">
        <is>
          <t>South</t>
        </is>
      </c>
      <c r="H2" t="inlineStr">
        <is>
          <t>Online</t>
        </is>
      </c>
      <c r="I2" t="inlineStr">
        <is>
          <t>Diya</t>
        </is>
      </c>
      <c r="J2" t="n">
        <v>1</v>
      </c>
      <c r="K2" s="6" t="n">
        <v>8</v>
      </c>
      <c r="L2" s="7" t="n">
        <v>0.05</v>
      </c>
      <c r="M2" t="inlineStr">
        <is>
          <t>Completed</t>
        </is>
      </c>
    </row>
    <row r="3">
      <c r="A3" t="inlineStr">
        <is>
          <t>ORD0002</t>
        </is>
      </c>
      <c r="B3" s="5" t="n">
        <v>45874</v>
      </c>
      <c r="C3" t="inlineStr">
        <is>
          <t>CUST1027</t>
        </is>
      </c>
      <c r="D3" t="inlineStr">
        <is>
          <t>P1010</t>
        </is>
      </c>
      <c r="E3" t="inlineStr">
        <is>
          <t>Notebook Pack</t>
        </is>
      </c>
      <c r="F3" t="inlineStr">
        <is>
          <t>Stationery</t>
        </is>
      </c>
      <c r="G3" t="inlineStr">
        <is>
          <t>South</t>
        </is>
      </c>
      <c r="H3" t="inlineStr">
        <is>
          <t>Marketplace</t>
        </is>
      </c>
      <c r="I3" t="inlineStr">
        <is>
          <t>Meera</t>
        </is>
      </c>
      <c r="J3" t="n">
        <v>1</v>
      </c>
      <c r="K3" s="6" t="n">
        <v>10</v>
      </c>
      <c r="L3" s="7" t="n">
        <v>0</v>
      </c>
      <c r="M3" t="inlineStr">
        <is>
          <t>Completed</t>
        </is>
      </c>
    </row>
    <row r="4">
      <c r="A4" t="inlineStr">
        <is>
          <t>ORD0003</t>
        </is>
      </c>
      <c r="B4" s="5" t="n">
        <v>45990</v>
      </c>
      <c r="C4" t="inlineStr">
        <is>
          <t>CUST1028</t>
        </is>
      </c>
      <c r="D4" t="inlineStr">
        <is>
          <t>P1012</t>
        </is>
      </c>
      <c r="E4" t="inlineStr">
        <is>
          <t>Whiteboard</t>
        </is>
      </c>
      <c r="F4" t="inlineStr">
        <is>
          <t>Stationery</t>
        </is>
      </c>
      <c r="G4" t="inlineStr">
        <is>
          <t>West</t>
        </is>
      </c>
      <c r="H4" t="inlineStr">
        <is>
          <t>Marketplace</t>
        </is>
      </c>
      <c r="I4" t="inlineStr">
        <is>
          <t>Aarav</t>
        </is>
      </c>
      <c r="J4" t="n">
        <v>3</v>
      </c>
      <c r="K4" s="6" t="n">
        <v>59</v>
      </c>
      <c r="L4" s="7" t="n">
        <v>0.1</v>
      </c>
      <c r="M4" t="inlineStr">
        <is>
          <t>Completed</t>
        </is>
      </c>
    </row>
    <row r="5">
      <c r="A5" t="inlineStr">
        <is>
          <t>ORD0004</t>
        </is>
      </c>
      <c r="B5" s="5" t="n">
        <v>45739</v>
      </c>
      <c r="C5" t="inlineStr">
        <is>
          <t>CUST1035</t>
        </is>
      </c>
      <c r="D5" t="inlineStr">
        <is>
          <t>P1013</t>
        </is>
      </c>
      <c r="E5" t="inlineStr">
        <is>
          <t>Water Bottle</t>
        </is>
      </c>
      <c r="F5" t="inlineStr">
        <is>
          <t>Accessories</t>
        </is>
      </c>
      <c r="G5" t="inlineStr">
        <is>
          <t>South</t>
        </is>
      </c>
      <c r="H5" t="inlineStr">
        <is>
          <t>Online</t>
        </is>
      </c>
      <c r="I5" t="inlineStr">
        <is>
          <t>Anaya</t>
        </is>
      </c>
      <c r="J5" t="n">
        <v>3</v>
      </c>
      <c r="K5" s="6" t="n">
        <v>18</v>
      </c>
      <c r="L5" s="7" t="n">
        <v>0.05</v>
      </c>
      <c r="M5" t="inlineStr">
        <is>
          <t>Returned</t>
        </is>
      </c>
    </row>
    <row r="6">
      <c r="A6" t="inlineStr">
        <is>
          <t>ORD0005</t>
        </is>
      </c>
      <c r="B6" s="5" t="n">
        <v>45705</v>
      </c>
      <c r="C6" t="inlineStr">
        <is>
          <t>CUST1044</t>
        </is>
      </c>
      <c r="D6" t="inlineStr">
        <is>
          <t>P1002</t>
        </is>
      </c>
      <c r="E6" t="inlineStr">
        <is>
          <t>Wireless Mouse</t>
        </is>
      </c>
      <c r="F6" t="inlineStr">
        <is>
          <t>Electronics</t>
        </is>
      </c>
      <c r="G6" t="inlineStr">
        <is>
          <t>Central</t>
        </is>
      </c>
      <c r="H6" t="inlineStr">
        <is>
          <t>In-store</t>
        </is>
      </c>
      <c r="I6" t="inlineStr">
        <is>
          <t>Sara</t>
        </is>
      </c>
      <c r="J6" t="n">
        <v>2</v>
      </c>
      <c r="K6" s="6" t="n">
        <v>25</v>
      </c>
      <c r="L6" s="7" t="n">
        <v>0.05</v>
      </c>
      <c r="M6" t="inlineStr">
        <is>
          <t>Completed</t>
        </is>
      </c>
    </row>
    <row r="7">
      <c r="A7" t="inlineStr">
        <is>
          <t>ORD0006</t>
        </is>
      </c>
      <c r="B7" s="5" t="n">
        <v>45721</v>
      </c>
      <c r="C7" t="inlineStr">
        <is>
          <t>CUST1010</t>
        </is>
      </c>
      <c r="D7" t="inlineStr">
        <is>
          <t>P1009</t>
        </is>
      </c>
      <c r="E7" t="inlineStr">
        <is>
          <t>Desk Lamp</t>
        </is>
      </c>
      <c r="F7" t="inlineStr">
        <is>
          <t>Furniture</t>
        </is>
      </c>
      <c r="G7" t="inlineStr">
        <is>
          <t>Central</t>
        </is>
      </c>
      <c r="H7" t="inlineStr">
        <is>
          <t>In-store</t>
        </is>
      </c>
      <c r="I7" t="inlineStr">
        <is>
          <t>Anaya</t>
        </is>
      </c>
      <c r="J7" t="n">
        <v>10</v>
      </c>
      <c r="K7" s="6" t="n">
        <v>39</v>
      </c>
      <c r="L7" s="7" t="n">
        <v>0.1</v>
      </c>
      <c r="M7" t="inlineStr">
        <is>
          <t>Completed</t>
        </is>
      </c>
    </row>
    <row r="8">
      <c r="A8" t="inlineStr">
        <is>
          <t>ORD0007</t>
        </is>
      </c>
      <c r="B8" s="5" t="n">
        <v>45756</v>
      </c>
      <c r="C8" t="inlineStr">
        <is>
          <t>CUST1029</t>
        </is>
      </c>
      <c r="D8" t="inlineStr">
        <is>
          <t>P1010</t>
        </is>
      </c>
      <c r="E8" t="inlineStr">
        <is>
          <t>Notebook Pack</t>
        </is>
      </c>
      <c r="F8" t="inlineStr">
        <is>
          <t>Stationery</t>
        </is>
      </c>
      <c r="G8" t="inlineStr">
        <is>
          <t>East</t>
        </is>
      </c>
      <c r="H8" t="inlineStr">
        <is>
          <t>Online</t>
        </is>
      </c>
      <c r="I8" t="inlineStr">
        <is>
          <t>Diya</t>
        </is>
      </c>
      <c r="J8" t="n">
        <v>3</v>
      </c>
      <c r="K8" s="6" t="n">
        <v>10</v>
      </c>
      <c r="L8" s="7" t="n">
        <v>0</v>
      </c>
      <c r="M8" t="inlineStr">
        <is>
          <t>Completed</t>
        </is>
      </c>
    </row>
    <row r="9">
      <c r="A9" t="inlineStr">
        <is>
          <t>ORD0008</t>
        </is>
      </c>
      <c r="B9" s="5" t="n">
        <v>45800</v>
      </c>
      <c r="C9" t="inlineStr">
        <is>
          <t>CUST1020</t>
        </is>
      </c>
      <c r="D9" t="inlineStr">
        <is>
          <t>P1007</t>
        </is>
      </c>
      <c r="E9" t="inlineStr">
        <is>
          <t>Office Chair</t>
        </is>
      </c>
      <c r="F9" t="inlineStr">
        <is>
          <t>Furniture</t>
        </is>
      </c>
      <c r="G9" t="inlineStr">
        <is>
          <t>East</t>
        </is>
      </c>
      <c r="H9" t="inlineStr">
        <is>
          <t>In-store</t>
        </is>
      </c>
      <c r="I9" t="inlineStr">
        <is>
          <t>Kabir</t>
        </is>
      </c>
      <c r="J9" t="n">
        <v>2</v>
      </c>
      <c r="K9" s="6" t="n">
        <v>179</v>
      </c>
      <c r="L9" s="7" t="n">
        <v>0.05</v>
      </c>
      <c r="M9" t="inlineStr">
        <is>
          <t>Completed</t>
        </is>
      </c>
    </row>
    <row r="10">
      <c r="A10" t="inlineStr">
        <is>
          <t>ORD0009</t>
        </is>
      </c>
      <c r="B10" s="5" t="n">
        <v>46007</v>
      </c>
      <c r="C10" t="inlineStr">
        <is>
          <t>CUST1021</t>
        </is>
      </c>
      <c r="D10" t="inlineStr">
        <is>
          <t>P1012</t>
        </is>
      </c>
      <c r="E10" t="inlineStr">
        <is>
          <t>Whiteboard</t>
        </is>
      </c>
      <c r="F10" t="inlineStr">
        <is>
          <t>Stationery</t>
        </is>
      </c>
      <c r="G10" t="inlineStr">
        <is>
          <t>Central</t>
        </is>
      </c>
      <c r="H10" t="inlineStr">
        <is>
          <t>Marketplace</t>
        </is>
      </c>
      <c r="I10" t="inlineStr">
        <is>
          <t>Sara</t>
        </is>
      </c>
      <c r="J10" t="n">
        <v>3</v>
      </c>
      <c r="K10" s="6" t="n">
        <v>59</v>
      </c>
      <c r="L10" s="7" t="n">
        <v>0.15</v>
      </c>
      <c r="M10" t="inlineStr">
        <is>
          <t>Completed</t>
        </is>
      </c>
    </row>
    <row r="11">
      <c r="A11" t="inlineStr">
        <is>
          <t>ORD0010</t>
        </is>
      </c>
      <c r="B11" s="5" t="n">
        <v>45796</v>
      </c>
      <c r="C11" t="inlineStr">
        <is>
          <t>CUST1071</t>
        </is>
      </c>
      <c r="D11" t="inlineStr">
        <is>
          <t>P1007</t>
        </is>
      </c>
      <c r="E11" t="inlineStr">
        <is>
          <t>Office Chair</t>
        </is>
      </c>
      <c r="F11" t="inlineStr">
        <is>
          <t>Furniture</t>
        </is>
      </c>
      <c r="G11" t="inlineStr">
        <is>
          <t>South</t>
        </is>
      </c>
      <c r="H11" t="inlineStr">
        <is>
          <t>Marketplace</t>
        </is>
      </c>
      <c r="I11" t="inlineStr">
        <is>
          <t>Aarav</t>
        </is>
      </c>
      <c r="J11" t="n">
        <v>10</v>
      </c>
      <c r="K11" s="6" t="n">
        <v>179</v>
      </c>
      <c r="L11" s="7" t="n">
        <v>0.2</v>
      </c>
      <c r="M11" t="inlineStr">
        <is>
          <t>Completed</t>
        </is>
      </c>
    </row>
    <row r="12">
      <c r="A12" t="inlineStr">
        <is>
          <t>ORD0011</t>
        </is>
      </c>
      <c r="B12" s="5" t="n">
        <v>45674</v>
      </c>
      <c r="C12" t="inlineStr">
        <is>
          <t>CUST1034</t>
        </is>
      </c>
      <c r="D12" t="inlineStr">
        <is>
          <t>P1004</t>
        </is>
      </c>
      <c r="E12" t="inlineStr">
        <is>
          <t>USB-C Hub</t>
        </is>
      </c>
      <c r="F12" t="inlineStr">
        <is>
          <t>Electronics</t>
        </is>
      </c>
      <c r="G12" t="inlineStr">
        <is>
          <t>North</t>
        </is>
      </c>
      <c r="H12" t="inlineStr">
        <is>
          <t>Online</t>
        </is>
      </c>
      <c r="I12" t="inlineStr">
        <is>
          <t>Anaya</t>
        </is>
      </c>
      <c r="J12" t="n">
        <v>4</v>
      </c>
      <c r="K12" s="6" t="n">
        <v>49</v>
      </c>
      <c r="L12" s="7" t="n">
        <v>0.1</v>
      </c>
      <c r="M12" t="inlineStr">
        <is>
          <t>Pending</t>
        </is>
      </c>
    </row>
    <row r="13">
      <c r="A13" t="inlineStr">
        <is>
          <t>ORD0012</t>
        </is>
      </c>
      <c r="B13" s="5" t="n">
        <v>45993</v>
      </c>
      <c r="C13" t="inlineStr">
        <is>
          <t>CUST1058</t>
        </is>
      </c>
      <c r="D13" t="inlineStr">
        <is>
          <t>P1004</t>
        </is>
      </c>
      <c r="E13" t="inlineStr">
        <is>
          <t>USB-C Hub</t>
        </is>
      </c>
      <c r="F13" t="inlineStr">
        <is>
          <t>Electronics</t>
        </is>
      </c>
      <c r="G13" t="inlineStr">
        <is>
          <t>South</t>
        </is>
      </c>
      <c r="H13" t="inlineStr">
        <is>
          <t>In-store</t>
        </is>
      </c>
      <c r="I13" t="inlineStr">
        <is>
          <t>Kabir</t>
        </is>
      </c>
      <c r="J13" t="n">
        <v>2</v>
      </c>
      <c r="K13" s="6" t="n">
        <v>49</v>
      </c>
      <c r="L13" s="7" t="n">
        <v>0.2</v>
      </c>
      <c r="M13" t="inlineStr">
        <is>
          <t>Completed</t>
        </is>
      </c>
    </row>
    <row r="14">
      <c r="A14" t="inlineStr">
        <is>
          <t>ORD0013</t>
        </is>
      </c>
      <c r="B14" s="5" t="n">
        <v>45957</v>
      </c>
      <c r="C14" t="inlineStr">
        <is>
          <t>CUST1051</t>
        </is>
      </c>
      <c r="D14" t="inlineStr">
        <is>
          <t>P1012</t>
        </is>
      </c>
      <c r="E14" t="inlineStr">
        <is>
          <t>Whiteboard</t>
        </is>
      </c>
      <c r="F14" t="inlineStr">
        <is>
          <t>Stationery</t>
        </is>
      </c>
      <c r="G14" t="inlineStr">
        <is>
          <t>East</t>
        </is>
      </c>
      <c r="H14" t="inlineStr">
        <is>
          <t>Online</t>
        </is>
      </c>
      <c r="I14" t="inlineStr">
        <is>
          <t>Ishaan</t>
        </is>
      </c>
      <c r="J14" t="n">
        <v>2</v>
      </c>
      <c r="K14" s="6" t="n">
        <v>59</v>
      </c>
      <c r="L14" s="7" t="n">
        <v>0.15</v>
      </c>
      <c r="M14" t="inlineStr">
        <is>
          <t>Returned</t>
        </is>
      </c>
    </row>
    <row r="15">
      <c r="A15" t="inlineStr">
        <is>
          <t>ORD0014</t>
        </is>
      </c>
      <c r="B15" s="5" t="n">
        <v>45910</v>
      </c>
      <c r="C15" t="inlineStr">
        <is>
          <t>CUST1014</t>
        </is>
      </c>
      <c r="D15" t="inlineStr">
        <is>
          <t>P1009</t>
        </is>
      </c>
      <c r="E15" t="inlineStr">
        <is>
          <t>Desk Lamp</t>
        </is>
      </c>
      <c r="F15" t="inlineStr">
        <is>
          <t>Furniture</t>
        </is>
      </c>
      <c r="G15" t="inlineStr">
        <is>
          <t>South</t>
        </is>
      </c>
      <c r="H15" t="inlineStr">
        <is>
          <t>Marketplace</t>
        </is>
      </c>
      <c r="I15" t="inlineStr">
        <is>
          <t>Rohan</t>
        </is>
      </c>
      <c r="J15" t="n">
        <v>1</v>
      </c>
      <c r="K15" s="6" t="n">
        <v>39</v>
      </c>
      <c r="L15" s="7" t="n">
        <v>0</v>
      </c>
      <c r="M15" t="inlineStr">
        <is>
          <t>Completed</t>
        </is>
      </c>
    </row>
    <row r="16">
      <c r="A16" t="inlineStr">
        <is>
          <t>ORD0015</t>
        </is>
      </c>
      <c r="B16" s="5" t="n">
        <v>45690</v>
      </c>
      <c r="C16" t="inlineStr">
        <is>
          <t>CUST1059</t>
        </is>
      </c>
      <c r="D16" t="inlineStr">
        <is>
          <t>P1010</t>
        </is>
      </c>
      <c r="E16" t="inlineStr">
        <is>
          <t>Notebook Pack</t>
        </is>
      </c>
      <c r="F16" t="inlineStr">
        <is>
          <t>Stationery</t>
        </is>
      </c>
      <c r="G16" t="inlineStr">
        <is>
          <t>Central</t>
        </is>
      </c>
      <c r="H16" t="inlineStr">
        <is>
          <t>In-store</t>
        </is>
      </c>
      <c r="I16" t="inlineStr">
        <is>
          <t>Aarav</t>
        </is>
      </c>
      <c r="J16" t="n">
        <v>2</v>
      </c>
      <c r="K16" s="6" t="n">
        <v>10</v>
      </c>
      <c r="L16" s="7" t="n">
        <v>0.15</v>
      </c>
      <c r="M16" t="inlineStr">
        <is>
          <t>Returned</t>
        </is>
      </c>
    </row>
    <row r="17">
      <c r="A17" t="inlineStr">
        <is>
          <t>ORD0016</t>
        </is>
      </c>
      <c r="B17" s="5" t="n">
        <v>45716</v>
      </c>
      <c r="C17" t="inlineStr">
        <is>
          <t>CUST1034</t>
        </is>
      </c>
      <c r="D17" t="inlineStr">
        <is>
          <t>P1011</t>
        </is>
      </c>
      <c r="E17" t="inlineStr">
        <is>
          <t>Pen Set</t>
        </is>
      </c>
      <c r="F17" t="inlineStr">
        <is>
          <t>Stationery</t>
        </is>
      </c>
      <c r="G17" t="inlineStr">
        <is>
          <t>East</t>
        </is>
      </c>
      <c r="H17" t="inlineStr">
        <is>
          <t>Online</t>
        </is>
      </c>
      <c r="I17" t="inlineStr">
        <is>
          <t>Ishaan</t>
        </is>
      </c>
      <c r="J17" t="n">
        <v>3</v>
      </c>
      <c r="K17" s="6" t="n">
        <v>8</v>
      </c>
      <c r="L17" s="7" t="n">
        <v>0.15</v>
      </c>
      <c r="M17" t="inlineStr">
        <is>
          <t>Completed</t>
        </is>
      </c>
    </row>
    <row r="18">
      <c r="A18" t="inlineStr">
        <is>
          <t>ORD0017</t>
        </is>
      </c>
      <c r="B18" s="5" t="n">
        <v>45659</v>
      </c>
      <c r="C18" t="inlineStr">
        <is>
          <t>CUST1033</t>
        </is>
      </c>
      <c r="D18" t="inlineStr">
        <is>
          <t>P1008</t>
        </is>
      </c>
      <c r="E18" t="inlineStr">
        <is>
          <t>Standing Desk</t>
        </is>
      </c>
      <c r="F18" t="inlineStr">
        <is>
          <t>Furniture</t>
        </is>
      </c>
      <c r="G18" t="inlineStr">
        <is>
          <t>Central</t>
        </is>
      </c>
      <c r="H18" t="inlineStr">
        <is>
          <t>Online</t>
        </is>
      </c>
      <c r="I18" t="inlineStr">
        <is>
          <t>Diya</t>
        </is>
      </c>
      <c r="J18" t="n">
        <v>8</v>
      </c>
      <c r="K18" s="6" t="n">
        <v>379</v>
      </c>
      <c r="L18" s="7" t="n">
        <v>0.2</v>
      </c>
      <c r="M18" t="inlineStr">
        <is>
          <t>Completed</t>
        </is>
      </c>
    </row>
    <row r="19">
      <c r="A19" t="inlineStr">
        <is>
          <t>ORD0018</t>
        </is>
      </c>
      <c r="B19" s="5" t="n">
        <v>45978</v>
      </c>
      <c r="C19" t="inlineStr">
        <is>
          <t>CUST1064</t>
        </is>
      </c>
      <c r="D19" t="inlineStr">
        <is>
          <t>P1014</t>
        </is>
      </c>
      <c r="E19" t="inlineStr">
        <is>
          <t>Backpack</t>
        </is>
      </c>
      <c r="F19" t="inlineStr">
        <is>
          <t>Accessories</t>
        </is>
      </c>
      <c r="G19" t="inlineStr">
        <is>
          <t>Central</t>
        </is>
      </c>
      <c r="H19" t="inlineStr">
        <is>
          <t>Online</t>
        </is>
      </c>
      <c r="I19" t="inlineStr">
        <is>
          <t>Ishaan</t>
        </is>
      </c>
      <c r="J19" t="n">
        <v>1</v>
      </c>
      <c r="K19" s="6" t="n">
        <v>49</v>
      </c>
      <c r="L19" s="7" t="n">
        <v>0.2</v>
      </c>
      <c r="M19" t="inlineStr">
        <is>
          <t>Completed</t>
        </is>
      </c>
    </row>
    <row r="20">
      <c r="A20" t="inlineStr">
        <is>
          <t>ORD0019</t>
        </is>
      </c>
      <c r="B20" s="5" t="n">
        <v>45929</v>
      </c>
      <c r="C20" t="inlineStr">
        <is>
          <t>CUST1041</t>
        </is>
      </c>
      <c r="D20" t="inlineStr">
        <is>
          <t>P1009</t>
        </is>
      </c>
      <c r="E20" t="inlineStr">
        <is>
          <t>Desk Lamp</t>
        </is>
      </c>
      <c r="F20" t="inlineStr">
        <is>
          <t>Furniture</t>
        </is>
      </c>
      <c r="G20" t="inlineStr">
        <is>
          <t>West</t>
        </is>
      </c>
      <c r="H20" t="inlineStr">
        <is>
          <t>Online</t>
        </is>
      </c>
      <c r="I20" t="inlineStr">
        <is>
          <t>Anaya</t>
        </is>
      </c>
      <c r="J20" t="n">
        <v>5</v>
      </c>
      <c r="K20" s="6" t="n">
        <v>39</v>
      </c>
      <c r="L20" s="7" t="n">
        <v>0.15</v>
      </c>
      <c r="M20" t="inlineStr">
        <is>
          <t>Completed</t>
        </is>
      </c>
    </row>
    <row r="21">
      <c r="A21" t="inlineStr">
        <is>
          <t>ORD0020</t>
        </is>
      </c>
      <c r="B21" s="5" t="n">
        <v>45815</v>
      </c>
      <c r="C21" t="inlineStr">
        <is>
          <t>CUST1072</t>
        </is>
      </c>
      <c r="D21" t="inlineStr">
        <is>
          <t>P1015</t>
        </is>
      </c>
      <c r="E21" t="inlineStr">
        <is>
          <t>Phone Stand</t>
        </is>
      </c>
      <c r="F21" t="inlineStr">
        <is>
          <t>Accessories</t>
        </is>
      </c>
      <c r="G21" t="inlineStr">
        <is>
          <t>North</t>
        </is>
      </c>
      <c r="H21" t="inlineStr">
        <is>
          <t>Online</t>
        </is>
      </c>
      <c r="I21" t="inlineStr">
        <is>
          <t>Diya</t>
        </is>
      </c>
      <c r="J21" t="n">
        <v>1</v>
      </c>
      <c r="K21" s="6" t="n">
        <v>16</v>
      </c>
      <c r="L21" s="7" t="n">
        <v>0</v>
      </c>
      <c r="M21" t="inlineStr">
        <is>
          <t>Completed</t>
        </is>
      </c>
    </row>
    <row r="22">
      <c r="A22" t="inlineStr">
        <is>
          <t>ORD0021</t>
        </is>
      </c>
      <c r="B22" s="5" t="n">
        <v>45930</v>
      </c>
      <c r="C22" t="inlineStr">
        <is>
          <t>CUST1060</t>
        </is>
      </c>
      <c r="D22" t="inlineStr">
        <is>
          <t>P1013</t>
        </is>
      </c>
      <c r="E22" t="inlineStr">
        <is>
          <t>Water Bottle</t>
        </is>
      </c>
      <c r="F22" t="inlineStr">
        <is>
          <t>Accessories</t>
        </is>
      </c>
      <c r="G22" t="inlineStr">
        <is>
          <t>Central</t>
        </is>
      </c>
      <c r="H22" t="inlineStr">
        <is>
          <t>Online</t>
        </is>
      </c>
      <c r="I22" t="inlineStr">
        <is>
          <t>Rohan</t>
        </is>
      </c>
      <c r="J22" t="n">
        <v>4</v>
      </c>
      <c r="K22" s="6" t="n">
        <v>18</v>
      </c>
      <c r="L22" s="7" t="n">
        <v>0</v>
      </c>
      <c r="M22" t="inlineStr">
        <is>
          <t>Completed</t>
        </is>
      </c>
    </row>
    <row r="23">
      <c r="A23" t="inlineStr">
        <is>
          <t>ORD0022</t>
        </is>
      </c>
      <c r="B23" s="5" t="n">
        <v>45934</v>
      </c>
      <c r="C23" t="inlineStr">
        <is>
          <t>CUST1025</t>
        </is>
      </c>
      <c r="D23" t="inlineStr">
        <is>
          <t>P1004</t>
        </is>
      </c>
      <c r="E23" t="inlineStr">
        <is>
          <t>USB-C Hub</t>
        </is>
      </c>
      <c r="F23" t="inlineStr">
        <is>
          <t>Electronics</t>
        </is>
      </c>
      <c r="G23" t="inlineStr">
        <is>
          <t>East</t>
        </is>
      </c>
      <c r="H23" t="inlineStr">
        <is>
          <t>In-store</t>
        </is>
      </c>
      <c r="I23" t="inlineStr">
        <is>
          <t>Anaya</t>
        </is>
      </c>
      <c r="J23" t="n">
        <v>3</v>
      </c>
      <c r="K23" s="6" t="n">
        <v>49</v>
      </c>
      <c r="L23" s="7" t="n">
        <v>0.2</v>
      </c>
      <c r="M23" t="inlineStr">
        <is>
          <t>Returned</t>
        </is>
      </c>
    </row>
    <row r="24">
      <c r="A24" t="inlineStr">
        <is>
          <t>ORD0023</t>
        </is>
      </c>
      <c r="B24" s="5" t="n">
        <v>45922</v>
      </c>
      <c r="C24" t="inlineStr">
        <is>
          <t>CUST1028</t>
        </is>
      </c>
      <c r="D24" t="inlineStr">
        <is>
          <t>P1008</t>
        </is>
      </c>
      <c r="E24" t="inlineStr">
        <is>
          <t>Standing Desk</t>
        </is>
      </c>
      <c r="F24" t="inlineStr">
        <is>
          <t>Furniture</t>
        </is>
      </c>
      <c r="G24" t="inlineStr">
        <is>
          <t>North</t>
        </is>
      </c>
      <c r="H24" t="inlineStr">
        <is>
          <t>In-store</t>
        </is>
      </c>
      <c r="I24" t="inlineStr">
        <is>
          <t>Meera</t>
        </is>
      </c>
      <c r="J24" t="n">
        <v>2</v>
      </c>
      <c r="K24" s="6" t="n">
        <v>379</v>
      </c>
      <c r="L24" s="7" t="n">
        <v>0</v>
      </c>
      <c r="M24" t="inlineStr">
        <is>
          <t>Completed</t>
        </is>
      </c>
    </row>
    <row r="25">
      <c r="A25" t="inlineStr">
        <is>
          <t>ORD0024</t>
        </is>
      </c>
      <c r="B25" s="5" t="n">
        <v>45770</v>
      </c>
      <c r="C25" t="inlineStr">
        <is>
          <t>CUST1007</t>
        </is>
      </c>
      <c r="D25" t="inlineStr">
        <is>
          <t>P1010</t>
        </is>
      </c>
      <c r="E25" t="inlineStr">
        <is>
          <t>Notebook Pack</t>
        </is>
      </c>
      <c r="F25" t="inlineStr">
        <is>
          <t>Stationery</t>
        </is>
      </c>
      <c r="G25" t="inlineStr">
        <is>
          <t>South</t>
        </is>
      </c>
      <c r="H25" t="inlineStr">
        <is>
          <t>Online</t>
        </is>
      </c>
      <c r="I25" t="inlineStr">
        <is>
          <t>Anaya</t>
        </is>
      </c>
      <c r="J25" t="n">
        <v>1</v>
      </c>
      <c r="K25" s="6" t="n">
        <v>10</v>
      </c>
      <c r="L25" s="7" t="n">
        <v>0.2</v>
      </c>
      <c r="M25" t="inlineStr">
        <is>
          <t>Pending</t>
        </is>
      </c>
    </row>
    <row r="26">
      <c r="A26" t="inlineStr">
        <is>
          <t>ORD0025</t>
        </is>
      </c>
      <c r="B26" s="5" t="n">
        <v>45921</v>
      </c>
      <c r="C26" t="inlineStr">
        <is>
          <t>CUST1062</t>
        </is>
      </c>
      <c r="D26" t="inlineStr">
        <is>
          <t>P1002</t>
        </is>
      </c>
      <c r="E26" t="inlineStr">
        <is>
          <t>Wireless Mouse</t>
        </is>
      </c>
      <c r="F26" t="inlineStr">
        <is>
          <t>Electronics</t>
        </is>
      </c>
      <c r="G26" t="inlineStr">
        <is>
          <t>South</t>
        </is>
      </c>
      <c r="H26" t="inlineStr">
        <is>
          <t>Marketplace</t>
        </is>
      </c>
      <c r="I26" t="inlineStr">
        <is>
          <t>Sara</t>
        </is>
      </c>
      <c r="J26" t="n">
        <v>1</v>
      </c>
      <c r="K26" s="6" t="n">
        <v>25</v>
      </c>
      <c r="L26" s="7" t="n">
        <v>0.2</v>
      </c>
      <c r="M26" t="inlineStr">
        <is>
          <t>Completed</t>
        </is>
      </c>
    </row>
    <row r="27">
      <c r="A27" t="inlineStr">
        <is>
          <t>ORD0026</t>
        </is>
      </c>
      <c r="B27" s="5" t="n">
        <v>45900</v>
      </c>
      <c r="C27" t="inlineStr">
        <is>
          <t>CUST1012</t>
        </is>
      </c>
      <c r="D27" t="inlineStr">
        <is>
          <t>P1004</t>
        </is>
      </c>
      <c r="E27" t="inlineStr">
        <is>
          <t>USB-C Hub</t>
        </is>
      </c>
      <c r="F27" t="inlineStr">
        <is>
          <t>Electronics</t>
        </is>
      </c>
      <c r="G27" t="inlineStr">
        <is>
          <t>North</t>
        </is>
      </c>
      <c r="H27" t="inlineStr">
        <is>
          <t>Marketplace</t>
        </is>
      </c>
      <c r="I27" t="inlineStr">
        <is>
          <t>Rohan</t>
        </is>
      </c>
      <c r="J27" t="n">
        <v>4</v>
      </c>
      <c r="K27" s="6" t="n">
        <v>49</v>
      </c>
      <c r="L27" s="7" t="n">
        <v>0</v>
      </c>
      <c r="M27" t="inlineStr">
        <is>
          <t>Completed</t>
        </is>
      </c>
    </row>
    <row r="28">
      <c r="A28" t="inlineStr">
        <is>
          <t>ORD0027</t>
        </is>
      </c>
      <c r="B28" s="5" t="n">
        <v>45897</v>
      </c>
      <c r="C28" t="inlineStr">
        <is>
          <t>CUST1012</t>
        </is>
      </c>
      <c r="D28" t="inlineStr">
        <is>
          <t>P1007</t>
        </is>
      </c>
      <c r="E28" t="inlineStr">
        <is>
          <t>Office Chair</t>
        </is>
      </c>
      <c r="F28" t="inlineStr">
        <is>
          <t>Furniture</t>
        </is>
      </c>
      <c r="G28" t="inlineStr">
        <is>
          <t>North</t>
        </is>
      </c>
      <c r="H28" t="inlineStr">
        <is>
          <t>In-store</t>
        </is>
      </c>
      <c r="I28" t="inlineStr">
        <is>
          <t>Diya</t>
        </is>
      </c>
      <c r="J28" t="n">
        <v>5</v>
      </c>
      <c r="K28" s="6" t="n">
        <v>179</v>
      </c>
      <c r="L28" s="7" t="n">
        <v>0</v>
      </c>
      <c r="M28" t="inlineStr">
        <is>
          <t>Completed</t>
        </is>
      </c>
    </row>
    <row r="29">
      <c r="A29" t="inlineStr">
        <is>
          <t>ORD0028</t>
        </is>
      </c>
      <c r="B29" s="5" t="n">
        <v>45756</v>
      </c>
      <c r="C29" t="inlineStr">
        <is>
          <t>CUST1017</t>
        </is>
      </c>
      <c r="D29" t="inlineStr">
        <is>
          <t>P1004</t>
        </is>
      </c>
      <c r="E29" t="inlineStr">
        <is>
          <t>USB-C Hub</t>
        </is>
      </c>
      <c r="F29" t="inlineStr">
        <is>
          <t>Electronics</t>
        </is>
      </c>
      <c r="G29" t="inlineStr">
        <is>
          <t>West</t>
        </is>
      </c>
      <c r="H29" t="inlineStr">
        <is>
          <t>Online</t>
        </is>
      </c>
      <c r="I29" t="inlineStr">
        <is>
          <t>Meera</t>
        </is>
      </c>
      <c r="J29" t="n">
        <v>1</v>
      </c>
      <c r="K29" s="6" t="n">
        <v>49</v>
      </c>
      <c r="L29" s="7" t="n">
        <v>0.1</v>
      </c>
      <c r="M29" t="inlineStr">
        <is>
          <t>Completed</t>
        </is>
      </c>
    </row>
    <row r="30">
      <c r="A30" t="inlineStr">
        <is>
          <t>ORD0029</t>
        </is>
      </c>
      <c r="B30" s="5" t="n">
        <v>45696</v>
      </c>
      <c r="C30" t="inlineStr">
        <is>
          <t>CUST1012</t>
        </is>
      </c>
      <c r="D30" t="inlineStr">
        <is>
          <t>P1014</t>
        </is>
      </c>
      <c r="E30" t="inlineStr">
        <is>
          <t>Backpack</t>
        </is>
      </c>
      <c r="F30" t="inlineStr">
        <is>
          <t>Accessories</t>
        </is>
      </c>
      <c r="G30" t="inlineStr">
        <is>
          <t>North</t>
        </is>
      </c>
      <c r="H30" t="inlineStr">
        <is>
          <t>Marketplace</t>
        </is>
      </c>
      <c r="I30" t="inlineStr">
        <is>
          <t>Aarav</t>
        </is>
      </c>
      <c r="J30" t="n">
        <v>2</v>
      </c>
      <c r="K30" s="6" t="n">
        <v>49</v>
      </c>
      <c r="L30" s="7" t="n">
        <v>0.15</v>
      </c>
      <c r="M30" t="inlineStr">
        <is>
          <t>Returned</t>
        </is>
      </c>
    </row>
    <row r="31">
      <c r="A31" t="inlineStr">
        <is>
          <t>ORD0030</t>
        </is>
      </c>
      <c r="B31" s="5" t="n">
        <v>45779</v>
      </c>
      <c r="C31" t="inlineStr">
        <is>
          <t>CUST1061</t>
        </is>
      </c>
      <c r="D31" t="inlineStr">
        <is>
          <t>P1002</t>
        </is>
      </c>
      <c r="E31" t="inlineStr">
        <is>
          <t>Wireless Mouse</t>
        </is>
      </c>
      <c r="F31" t="inlineStr">
        <is>
          <t>Electronics</t>
        </is>
      </c>
      <c r="G31" t="inlineStr">
        <is>
          <t>South</t>
        </is>
      </c>
      <c r="H31" t="inlineStr">
        <is>
          <t>In-store</t>
        </is>
      </c>
      <c r="I31" t="inlineStr">
        <is>
          <t>Ishaan</t>
        </is>
      </c>
      <c r="J31" t="n">
        <v>1</v>
      </c>
      <c r="K31" s="6" t="n">
        <v>25</v>
      </c>
      <c r="L31" s="7" t="n">
        <v>0.1</v>
      </c>
      <c r="M31" t="inlineStr">
        <is>
          <t>Pending</t>
        </is>
      </c>
    </row>
    <row r="32">
      <c r="A32" t="inlineStr">
        <is>
          <t>ORD0031</t>
        </is>
      </c>
      <c r="B32" s="5" t="n">
        <v>45659</v>
      </c>
      <c r="C32" t="inlineStr">
        <is>
          <t>CUST1058</t>
        </is>
      </c>
      <c r="D32" t="inlineStr">
        <is>
          <t>P1007</t>
        </is>
      </c>
      <c r="E32" t="inlineStr">
        <is>
          <t>Office Chair</t>
        </is>
      </c>
      <c r="F32" t="inlineStr">
        <is>
          <t>Furniture</t>
        </is>
      </c>
      <c r="G32" t="inlineStr">
        <is>
          <t>East</t>
        </is>
      </c>
      <c r="H32" t="inlineStr">
        <is>
          <t>In-store</t>
        </is>
      </c>
      <c r="I32" t="inlineStr">
        <is>
          <t>Sara</t>
        </is>
      </c>
      <c r="J32" t="n">
        <v>10</v>
      </c>
      <c r="K32" s="6" t="n">
        <v>179</v>
      </c>
      <c r="L32" s="7" t="n">
        <v>0.05</v>
      </c>
      <c r="M32" t="inlineStr">
        <is>
          <t>Completed</t>
        </is>
      </c>
    </row>
    <row r="33">
      <c r="A33" t="inlineStr">
        <is>
          <t>ORD0032</t>
        </is>
      </c>
      <c r="B33" s="5" t="n">
        <v>45755</v>
      </c>
      <c r="C33" t="inlineStr">
        <is>
          <t>CUST1074</t>
        </is>
      </c>
      <c r="D33" t="inlineStr">
        <is>
          <t>P1003</t>
        </is>
      </c>
      <c r="E33" t="inlineStr">
        <is>
          <t>Mechanical Keyboard</t>
        </is>
      </c>
      <c r="F33" t="inlineStr">
        <is>
          <t>Electronics</t>
        </is>
      </c>
      <c r="G33" t="inlineStr">
        <is>
          <t>Central</t>
        </is>
      </c>
      <c r="H33" t="inlineStr">
        <is>
          <t>Online</t>
        </is>
      </c>
      <c r="I33" t="inlineStr">
        <is>
          <t>Aarav</t>
        </is>
      </c>
      <c r="J33" t="n">
        <v>1</v>
      </c>
      <c r="K33" s="6" t="n">
        <v>75</v>
      </c>
      <c r="L33" s="7" t="n">
        <v>0</v>
      </c>
      <c r="M33" t="inlineStr">
        <is>
          <t>Completed</t>
        </is>
      </c>
    </row>
    <row r="34">
      <c r="A34" t="inlineStr">
        <is>
          <t>ORD0033</t>
        </is>
      </c>
      <c r="B34" s="5" t="n">
        <v>45957</v>
      </c>
      <c r="C34" t="inlineStr">
        <is>
          <t>CUST1020</t>
        </is>
      </c>
      <c r="D34" t="inlineStr">
        <is>
          <t>P1001</t>
        </is>
      </c>
      <c r="E34" t="inlineStr">
        <is>
          <t>Laptop Pro 14</t>
        </is>
      </c>
      <c r="F34" t="inlineStr">
        <is>
          <t>Electronics</t>
        </is>
      </c>
      <c r="G34" t="inlineStr">
        <is>
          <t>North</t>
        </is>
      </c>
      <c r="H34" t="inlineStr">
        <is>
          <t>Marketplace</t>
        </is>
      </c>
      <c r="I34" t="inlineStr">
        <is>
          <t>Ishaan</t>
        </is>
      </c>
      <c r="J34" t="n">
        <v>2</v>
      </c>
      <c r="K34" s="6" t="n">
        <v>1150</v>
      </c>
      <c r="L34" s="7" t="n">
        <v>0.15</v>
      </c>
      <c r="M34" t="inlineStr">
        <is>
          <t>Completed</t>
        </is>
      </c>
    </row>
    <row r="35">
      <c r="A35" t="inlineStr">
        <is>
          <t>ORD0034</t>
        </is>
      </c>
      <c r="B35" s="5" t="n">
        <v>45962</v>
      </c>
      <c r="C35" t="inlineStr">
        <is>
          <t>CUST1051</t>
        </is>
      </c>
      <c r="D35" t="inlineStr">
        <is>
          <t>P1002</t>
        </is>
      </c>
      <c r="E35" t="inlineStr">
        <is>
          <t>Wireless Mouse</t>
        </is>
      </c>
      <c r="F35" t="inlineStr">
        <is>
          <t>Electronics</t>
        </is>
      </c>
      <c r="G35" t="inlineStr">
        <is>
          <t>North</t>
        </is>
      </c>
      <c r="H35" t="inlineStr">
        <is>
          <t>Marketplace</t>
        </is>
      </c>
      <c r="I35" t="inlineStr">
        <is>
          <t>Aarav</t>
        </is>
      </c>
      <c r="J35" t="n">
        <v>1</v>
      </c>
      <c r="K35" s="6" t="n">
        <v>25</v>
      </c>
      <c r="L35" s="7" t="n">
        <v>0</v>
      </c>
      <c r="M35" t="inlineStr">
        <is>
          <t>Completed</t>
        </is>
      </c>
    </row>
    <row r="36">
      <c r="A36" t="inlineStr">
        <is>
          <t>ORD0035</t>
        </is>
      </c>
      <c r="B36" s="5" t="n">
        <v>45699</v>
      </c>
      <c r="C36" t="inlineStr">
        <is>
          <t>CUST1072</t>
        </is>
      </c>
      <c r="D36" t="inlineStr">
        <is>
          <t>P1010</t>
        </is>
      </c>
      <c r="E36" t="inlineStr">
        <is>
          <t>Notebook Pack</t>
        </is>
      </c>
      <c r="F36" t="inlineStr">
        <is>
          <t>Stationery</t>
        </is>
      </c>
      <c r="G36" t="inlineStr">
        <is>
          <t>Central</t>
        </is>
      </c>
      <c r="H36" t="inlineStr">
        <is>
          <t>In-store</t>
        </is>
      </c>
      <c r="I36" t="inlineStr">
        <is>
          <t>Meera</t>
        </is>
      </c>
      <c r="J36" t="n">
        <v>2</v>
      </c>
      <c r="K36" s="6" t="n">
        <v>10</v>
      </c>
      <c r="L36" s="7" t="n">
        <v>0.15</v>
      </c>
      <c r="M36" t="inlineStr">
        <is>
          <t>Pending</t>
        </is>
      </c>
    </row>
    <row r="37">
      <c r="A37" t="inlineStr">
        <is>
          <t>ORD0036</t>
        </is>
      </c>
      <c r="B37" s="5" t="n">
        <v>45818</v>
      </c>
      <c r="C37" t="inlineStr">
        <is>
          <t>CUST1016</t>
        </is>
      </c>
      <c r="D37" t="inlineStr">
        <is>
          <t>P1011</t>
        </is>
      </c>
      <c r="E37" t="inlineStr">
        <is>
          <t>Pen Set</t>
        </is>
      </c>
      <c r="F37" t="inlineStr">
        <is>
          <t>Stationery</t>
        </is>
      </c>
      <c r="G37" t="inlineStr">
        <is>
          <t>East</t>
        </is>
      </c>
      <c r="H37" t="inlineStr">
        <is>
          <t>In-store</t>
        </is>
      </c>
      <c r="I37" t="inlineStr">
        <is>
          <t>Diya</t>
        </is>
      </c>
      <c r="J37" t="n">
        <v>1</v>
      </c>
      <c r="K37" s="6" t="n">
        <v>8</v>
      </c>
      <c r="L37" s="7" t="n">
        <v>0.1</v>
      </c>
      <c r="M37" t="inlineStr">
        <is>
          <t>Completed</t>
        </is>
      </c>
    </row>
    <row r="38">
      <c r="A38" t="inlineStr">
        <is>
          <t>ORD0037</t>
        </is>
      </c>
      <c r="B38" s="5" t="n">
        <v>45892</v>
      </c>
      <c r="C38" t="inlineStr">
        <is>
          <t>CUST1012</t>
        </is>
      </c>
      <c r="D38" t="inlineStr">
        <is>
          <t>P1001</t>
        </is>
      </c>
      <c r="E38" t="inlineStr">
        <is>
          <t>Laptop Pro 14</t>
        </is>
      </c>
      <c r="F38" t="inlineStr">
        <is>
          <t>Electronics</t>
        </is>
      </c>
      <c r="G38" t="inlineStr">
        <is>
          <t>North</t>
        </is>
      </c>
      <c r="H38" t="inlineStr">
        <is>
          <t>Marketplace</t>
        </is>
      </c>
      <c r="I38" t="inlineStr">
        <is>
          <t>Kabir</t>
        </is>
      </c>
      <c r="J38" t="n">
        <v>3</v>
      </c>
      <c r="K38" s="6" t="n">
        <v>1150</v>
      </c>
      <c r="L38" s="7" t="n">
        <v>0.15</v>
      </c>
      <c r="M38" t="inlineStr">
        <is>
          <t>Completed</t>
        </is>
      </c>
    </row>
    <row r="39">
      <c r="A39" t="inlineStr">
        <is>
          <t>ORD0038</t>
        </is>
      </c>
      <c r="B39" s="5" t="n">
        <v>45836</v>
      </c>
      <c r="C39" t="inlineStr">
        <is>
          <t>CUST1047</t>
        </is>
      </c>
      <c r="D39" t="inlineStr">
        <is>
          <t>P1003</t>
        </is>
      </c>
      <c r="E39" t="inlineStr">
        <is>
          <t>Mechanical Keyboard</t>
        </is>
      </c>
      <c r="F39" t="inlineStr">
        <is>
          <t>Electronics</t>
        </is>
      </c>
      <c r="G39" t="inlineStr">
        <is>
          <t>East</t>
        </is>
      </c>
      <c r="H39" t="inlineStr">
        <is>
          <t>Online</t>
        </is>
      </c>
      <c r="I39" t="inlineStr">
        <is>
          <t>Kabir</t>
        </is>
      </c>
      <c r="J39" t="n">
        <v>5</v>
      </c>
      <c r="K39" s="6" t="n">
        <v>75</v>
      </c>
      <c r="L39" s="7" t="n">
        <v>0</v>
      </c>
      <c r="M39" t="inlineStr">
        <is>
          <t>Completed</t>
        </is>
      </c>
    </row>
    <row r="40">
      <c r="A40" t="inlineStr">
        <is>
          <t>ORD0039</t>
        </is>
      </c>
      <c r="B40" s="5" t="n">
        <v>45992</v>
      </c>
      <c r="C40" t="inlineStr">
        <is>
          <t>CUST1070</t>
        </is>
      </c>
      <c r="D40" t="inlineStr">
        <is>
          <t>P1010</t>
        </is>
      </c>
      <c r="E40" t="inlineStr">
        <is>
          <t>Notebook Pack</t>
        </is>
      </c>
      <c r="F40" t="inlineStr">
        <is>
          <t>Stationery</t>
        </is>
      </c>
      <c r="G40" t="inlineStr">
        <is>
          <t>East</t>
        </is>
      </c>
      <c r="H40" t="inlineStr">
        <is>
          <t>Marketplace</t>
        </is>
      </c>
      <c r="I40" t="inlineStr">
        <is>
          <t>Ishaan</t>
        </is>
      </c>
      <c r="J40" t="n">
        <v>2</v>
      </c>
      <c r="K40" s="6" t="n">
        <v>10</v>
      </c>
      <c r="L40" s="7" t="n">
        <v>0.2</v>
      </c>
      <c r="M40" t="inlineStr">
        <is>
          <t>Completed</t>
        </is>
      </c>
    </row>
    <row r="41">
      <c r="A41" t="inlineStr">
        <is>
          <t>ORD0040</t>
        </is>
      </c>
      <c r="B41" s="5" t="n">
        <v>45717</v>
      </c>
      <c r="C41" t="inlineStr">
        <is>
          <t>CUST1070</t>
        </is>
      </c>
      <c r="D41" t="inlineStr">
        <is>
          <t>P1005</t>
        </is>
      </c>
      <c r="E41" t="inlineStr">
        <is>
          <t>Monitor 27 inch</t>
        </is>
      </c>
      <c r="F41" t="inlineStr">
        <is>
          <t>Electronics</t>
        </is>
      </c>
      <c r="G41" t="inlineStr">
        <is>
          <t>South</t>
        </is>
      </c>
      <c r="H41" t="inlineStr">
        <is>
          <t>In-store</t>
        </is>
      </c>
      <c r="I41" t="inlineStr">
        <is>
          <t>Meera</t>
        </is>
      </c>
      <c r="J41" t="n">
        <v>5</v>
      </c>
      <c r="K41" s="6" t="n">
        <v>299</v>
      </c>
      <c r="L41" s="7" t="n">
        <v>0.2</v>
      </c>
      <c r="M41" t="inlineStr">
        <is>
          <t>Completed</t>
        </is>
      </c>
    </row>
    <row r="42">
      <c r="A42" t="inlineStr">
        <is>
          <t>ORD0041</t>
        </is>
      </c>
      <c r="B42" s="5" t="n">
        <v>45833</v>
      </c>
      <c r="C42" t="inlineStr">
        <is>
          <t>CUST1033</t>
        </is>
      </c>
      <c r="D42" t="inlineStr">
        <is>
          <t>P1012</t>
        </is>
      </c>
      <c r="E42" t="inlineStr">
        <is>
          <t>Whiteboard</t>
        </is>
      </c>
      <c r="F42" t="inlineStr">
        <is>
          <t>Stationery</t>
        </is>
      </c>
      <c r="G42" t="inlineStr">
        <is>
          <t>Central</t>
        </is>
      </c>
      <c r="H42" t="inlineStr">
        <is>
          <t>In-store</t>
        </is>
      </c>
      <c r="I42" t="inlineStr">
        <is>
          <t>Aarav</t>
        </is>
      </c>
      <c r="J42" t="n">
        <v>1</v>
      </c>
      <c r="K42" s="6" t="n">
        <v>59</v>
      </c>
      <c r="L42" s="7" t="n">
        <v>0.2</v>
      </c>
      <c r="M42" t="inlineStr">
        <is>
          <t>Completed</t>
        </is>
      </c>
    </row>
    <row r="43">
      <c r="A43" t="inlineStr">
        <is>
          <t>ORD0042</t>
        </is>
      </c>
      <c r="B43" s="5" t="n">
        <v>45982</v>
      </c>
      <c r="C43" t="inlineStr">
        <is>
          <t>CUST1005</t>
        </is>
      </c>
      <c r="D43" t="inlineStr">
        <is>
          <t>P1002</t>
        </is>
      </c>
      <c r="E43" t="inlineStr">
        <is>
          <t>Wireless Mouse</t>
        </is>
      </c>
      <c r="F43" t="inlineStr">
        <is>
          <t>Electronics</t>
        </is>
      </c>
      <c r="G43" t="inlineStr">
        <is>
          <t>North</t>
        </is>
      </c>
      <c r="H43" t="inlineStr">
        <is>
          <t>In-store</t>
        </is>
      </c>
      <c r="I43" t="inlineStr">
        <is>
          <t>Kabir</t>
        </is>
      </c>
      <c r="J43" t="n">
        <v>2</v>
      </c>
      <c r="K43" s="6" t="n">
        <v>25</v>
      </c>
      <c r="L43" s="7" t="n">
        <v>0.05</v>
      </c>
      <c r="M43" t="inlineStr">
        <is>
          <t>Completed</t>
        </is>
      </c>
    </row>
    <row r="44">
      <c r="A44" t="inlineStr">
        <is>
          <t>ORD0043</t>
        </is>
      </c>
      <c r="B44" s="5" t="n">
        <v>45884</v>
      </c>
      <c r="C44" t="inlineStr">
        <is>
          <t>CUST1071</t>
        </is>
      </c>
      <c r="D44" t="inlineStr">
        <is>
          <t>P1003</t>
        </is>
      </c>
      <c r="E44" t="inlineStr">
        <is>
          <t>Mechanical Keyboard</t>
        </is>
      </c>
      <c r="F44" t="inlineStr">
        <is>
          <t>Electronics</t>
        </is>
      </c>
      <c r="G44" t="inlineStr">
        <is>
          <t>North</t>
        </is>
      </c>
      <c r="H44" t="inlineStr">
        <is>
          <t>Online</t>
        </is>
      </c>
      <c r="I44" t="inlineStr">
        <is>
          <t>Ishaan</t>
        </is>
      </c>
      <c r="J44" t="n">
        <v>2</v>
      </c>
      <c r="K44" s="6" t="n">
        <v>75</v>
      </c>
      <c r="L44" s="7" t="n">
        <v>0.1</v>
      </c>
      <c r="M44" t="inlineStr">
        <is>
          <t>Completed</t>
        </is>
      </c>
    </row>
    <row r="45">
      <c r="A45" t="inlineStr">
        <is>
          <t>ORD0044</t>
        </is>
      </c>
      <c r="B45" s="5" t="n">
        <v>45676</v>
      </c>
      <c r="C45" t="inlineStr">
        <is>
          <t>CUST1070</t>
        </is>
      </c>
      <c r="D45" t="inlineStr">
        <is>
          <t>P1009</t>
        </is>
      </c>
      <c r="E45" t="inlineStr">
        <is>
          <t>Desk Lamp</t>
        </is>
      </c>
      <c r="F45" t="inlineStr">
        <is>
          <t>Furniture</t>
        </is>
      </c>
      <c r="G45" t="inlineStr">
        <is>
          <t>South</t>
        </is>
      </c>
      <c r="H45" t="inlineStr">
        <is>
          <t>In-store</t>
        </is>
      </c>
      <c r="I45" t="inlineStr">
        <is>
          <t>Kabir</t>
        </is>
      </c>
      <c r="J45" t="n">
        <v>4</v>
      </c>
      <c r="K45" s="6" t="n">
        <v>39</v>
      </c>
      <c r="L45" s="7" t="n">
        <v>0.15</v>
      </c>
      <c r="M45" t="inlineStr">
        <is>
          <t>Completed</t>
        </is>
      </c>
    </row>
    <row r="46">
      <c r="A46" t="inlineStr">
        <is>
          <t>ORD0045</t>
        </is>
      </c>
      <c r="B46" s="5" t="n">
        <v>45678</v>
      </c>
      <c r="C46" t="inlineStr">
        <is>
          <t>CUST1031</t>
        </is>
      </c>
      <c r="D46" t="inlineStr">
        <is>
          <t>P1006</t>
        </is>
      </c>
      <c r="E46" t="inlineStr">
        <is>
          <t>Webcam HD</t>
        </is>
      </c>
      <c r="F46" t="inlineStr">
        <is>
          <t>Electronics</t>
        </is>
      </c>
      <c r="G46" t="inlineStr">
        <is>
          <t>North</t>
        </is>
      </c>
      <c r="H46" t="inlineStr">
        <is>
          <t>In-store</t>
        </is>
      </c>
      <c r="I46" t="inlineStr">
        <is>
          <t>Rohan</t>
        </is>
      </c>
      <c r="J46" t="n">
        <v>5</v>
      </c>
      <c r="K46" s="6" t="n">
        <v>69</v>
      </c>
      <c r="L46" s="7" t="n">
        <v>0</v>
      </c>
      <c r="M46" t="inlineStr">
        <is>
          <t>Completed</t>
        </is>
      </c>
    </row>
    <row r="47">
      <c r="A47" t="inlineStr">
        <is>
          <t>ORD0046</t>
        </is>
      </c>
      <c r="B47" s="5" t="n">
        <v>45737</v>
      </c>
      <c r="C47" t="inlineStr">
        <is>
          <t>CUST1020</t>
        </is>
      </c>
      <c r="D47" t="inlineStr">
        <is>
          <t>P1010</t>
        </is>
      </c>
      <c r="E47" t="inlineStr">
        <is>
          <t>Notebook Pack</t>
        </is>
      </c>
      <c r="F47" t="inlineStr">
        <is>
          <t>Stationery</t>
        </is>
      </c>
      <c r="G47" t="inlineStr">
        <is>
          <t>South</t>
        </is>
      </c>
      <c r="H47" t="inlineStr">
        <is>
          <t>In-store</t>
        </is>
      </c>
      <c r="I47" t="inlineStr">
        <is>
          <t>Anaya</t>
        </is>
      </c>
      <c r="J47" t="n">
        <v>5</v>
      </c>
      <c r="K47" s="6" t="n">
        <v>10</v>
      </c>
      <c r="L47" s="7" t="n">
        <v>0</v>
      </c>
      <c r="M47" t="inlineStr">
        <is>
          <t>Completed</t>
        </is>
      </c>
    </row>
    <row r="48">
      <c r="A48" t="inlineStr">
        <is>
          <t>ORD0047</t>
        </is>
      </c>
      <c r="B48" s="5" t="n">
        <v>45868</v>
      </c>
      <c r="C48" t="inlineStr">
        <is>
          <t>CUST1031</t>
        </is>
      </c>
      <c r="D48" t="inlineStr">
        <is>
          <t>P1013</t>
        </is>
      </c>
      <c r="E48" t="inlineStr">
        <is>
          <t>Water Bottle</t>
        </is>
      </c>
      <c r="F48" t="inlineStr">
        <is>
          <t>Accessories</t>
        </is>
      </c>
      <c r="G48" t="inlineStr">
        <is>
          <t>East</t>
        </is>
      </c>
      <c r="H48" t="inlineStr">
        <is>
          <t>Online</t>
        </is>
      </c>
      <c r="I48" t="inlineStr">
        <is>
          <t>Diya</t>
        </is>
      </c>
      <c r="J48" t="n">
        <v>4</v>
      </c>
      <c r="K48" s="6" t="n">
        <v>18</v>
      </c>
      <c r="L48" s="7" t="n">
        <v>0.2</v>
      </c>
      <c r="M48" t="inlineStr">
        <is>
          <t>Completed</t>
        </is>
      </c>
    </row>
    <row r="49">
      <c r="A49" t="inlineStr">
        <is>
          <t>ORD0048</t>
        </is>
      </c>
      <c r="B49" s="5" t="n">
        <v>45677</v>
      </c>
      <c r="C49" t="inlineStr">
        <is>
          <t>CUST1025</t>
        </is>
      </c>
      <c r="D49" t="inlineStr">
        <is>
          <t>P1007</t>
        </is>
      </c>
      <c r="E49" t="inlineStr">
        <is>
          <t>Office Chair</t>
        </is>
      </c>
      <c r="F49" t="inlineStr">
        <is>
          <t>Furniture</t>
        </is>
      </c>
      <c r="G49" t="inlineStr">
        <is>
          <t>West</t>
        </is>
      </c>
      <c r="H49" t="inlineStr">
        <is>
          <t>In-store</t>
        </is>
      </c>
      <c r="I49" t="inlineStr">
        <is>
          <t>Meera</t>
        </is>
      </c>
      <c r="J49" t="n">
        <v>4</v>
      </c>
      <c r="K49" s="6" t="n">
        <v>179</v>
      </c>
      <c r="L49" s="7" t="n">
        <v>0</v>
      </c>
      <c r="M49" t="inlineStr">
        <is>
          <t>Completed</t>
        </is>
      </c>
    </row>
    <row r="50">
      <c r="A50" t="inlineStr">
        <is>
          <t>ORD0049</t>
        </is>
      </c>
      <c r="B50" s="5" t="n">
        <v>45670</v>
      </c>
      <c r="C50" t="inlineStr">
        <is>
          <t>CUST1042</t>
        </is>
      </c>
      <c r="D50" t="inlineStr">
        <is>
          <t>P1004</t>
        </is>
      </c>
      <c r="E50" t="inlineStr">
        <is>
          <t>USB-C Hub</t>
        </is>
      </c>
      <c r="F50" t="inlineStr">
        <is>
          <t>Electronics</t>
        </is>
      </c>
      <c r="G50" t="inlineStr">
        <is>
          <t>East</t>
        </is>
      </c>
      <c r="H50" t="inlineStr">
        <is>
          <t>Online</t>
        </is>
      </c>
      <c r="I50" t="inlineStr">
        <is>
          <t>Kabir</t>
        </is>
      </c>
      <c r="J50" t="n">
        <v>3</v>
      </c>
      <c r="K50" s="6" t="n">
        <v>49</v>
      </c>
      <c r="L50" s="7" t="n">
        <v>0.1</v>
      </c>
      <c r="M50" t="inlineStr">
        <is>
          <t>Returned</t>
        </is>
      </c>
    </row>
    <row r="51">
      <c r="A51" t="inlineStr">
        <is>
          <t>ORD0050</t>
        </is>
      </c>
      <c r="B51" s="5" t="n">
        <v>45986</v>
      </c>
      <c r="C51" t="inlineStr">
        <is>
          <t>CUST1068</t>
        </is>
      </c>
      <c r="D51" t="inlineStr">
        <is>
          <t>P1006</t>
        </is>
      </c>
      <c r="E51" t="inlineStr">
        <is>
          <t>Webcam HD</t>
        </is>
      </c>
      <c r="F51" t="inlineStr">
        <is>
          <t>Electronics</t>
        </is>
      </c>
      <c r="G51" t="inlineStr">
        <is>
          <t>East</t>
        </is>
      </c>
      <c r="H51" t="inlineStr">
        <is>
          <t>Online</t>
        </is>
      </c>
      <c r="I51" t="inlineStr">
        <is>
          <t>Kabir</t>
        </is>
      </c>
      <c r="J51" t="n">
        <v>2</v>
      </c>
      <c r="K51" s="6" t="n">
        <v>69</v>
      </c>
      <c r="L51" s="7" t="n">
        <v>0.2</v>
      </c>
      <c r="M51" t="inlineStr">
        <is>
          <t>Completed</t>
        </is>
      </c>
    </row>
    <row r="52">
      <c r="A52" t="inlineStr">
        <is>
          <t>ORD0051</t>
        </is>
      </c>
      <c r="B52" s="5" t="n">
        <v>45955</v>
      </c>
      <c r="C52" t="inlineStr">
        <is>
          <t>CUST1004</t>
        </is>
      </c>
      <c r="D52" t="inlineStr">
        <is>
          <t>P1003</t>
        </is>
      </c>
      <c r="E52" t="inlineStr">
        <is>
          <t>Mechanical Keyboard</t>
        </is>
      </c>
      <c r="F52" t="inlineStr">
        <is>
          <t>Electronics</t>
        </is>
      </c>
      <c r="G52" t="inlineStr">
        <is>
          <t>North</t>
        </is>
      </c>
      <c r="H52" t="inlineStr">
        <is>
          <t>Marketplace</t>
        </is>
      </c>
      <c r="I52" t="inlineStr">
        <is>
          <t>Anaya</t>
        </is>
      </c>
      <c r="J52" t="n">
        <v>8</v>
      </c>
      <c r="K52" s="6" t="n">
        <v>75</v>
      </c>
      <c r="L52" s="7" t="n">
        <v>0.05</v>
      </c>
      <c r="M52" t="inlineStr">
        <is>
          <t>Completed</t>
        </is>
      </c>
    </row>
    <row r="53">
      <c r="A53" t="inlineStr">
        <is>
          <t>ORD0052</t>
        </is>
      </c>
      <c r="B53" s="5" t="n">
        <v>45968</v>
      </c>
      <c r="C53" t="inlineStr">
        <is>
          <t>CUST1049</t>
        </is>
      </c>
      <c r="D53" t="inlineStr">
        <is>
          <t>P1007</t>
        </is>
      </c>
      <c r="E53" t="inlineStr">
        <is>
          <t>Office Chair</t>
        </is>
      </c>
      <c r="F53" t="inlineStr">
        <is>
          <t>Furniture</t>
        </is>
      </c>
      <c r="G53" t="inlineStr">
        <is>
          <t>Central</t>
        </is>
      </c>
      <c r="H53" t="inlineStr">
        <is>
          <t>Online</t>
        </is>
      </c>
      <c r="I53" t="inlineStr">
        <is>
          <t>Rohan</t>
        </is>
      </c>
      <c r="J53" t="n">
        <v>10</v>
      </c>
      <c r="K53" s="6" t="n">
        <v>179</v>
      </c>
      <c r="L53" s="7" t="n">
        <v>0</v>
      </c>
      <c r="M53" t="inlineStr">
        <is>
          <t>Completed</t>
        </is>
      </c>
    </row>
    <row r="54">
      <c r="A54" t="inlineStr">
        <is>
          <t>ORD0053</t>
        </is>
      </c>
      <c r="B54" s="5" t="n">
        <v>45924</v>
      </c>
      <c r="C54" t="inlineStr">
        <is>
          <t>CUST1025</t>
        </is>
      </c>
      <c r="D54" t="inlineStr">
        <is>
          <t>P1001</t>
        </is>
      </c>
      <c r="E54" t="inlineStr">
        <is>
          <t>Laptop Pro 14</t>
        </is>
      </c>
      <c r="F54" t="inlineStr">
        <is>
          <t>Electronics</t>
        </is>
      </c>
      <c r="G54" t="inlineStr">
        <is>
          <t>East</t>
        </is>
      </c>
      <c r="H54" t="inlineStr">
        <is>
          <t>In-store</t>
        </is>
      </c>
      <c r="I54" t="inlineStr">
        <is>
          <t>Anaya</t>
        </is>
      </c>
      <c r="J54" t="n">
        <v>5</v>
      </c>
      <c r="K54" s="6" t="n">
        <v>1150</v>
      </c>
      <c r="L54" s="7" t="n">
        <v>0.15</v>
      </c>
      <c r="M54" t="inlineStr">
        <is>
          <t>Completed</t>
        </is>
      </c>
    </row>
    <row r="55">
      <c r="A55" t="inlineStr">
        <is>
          <t>ORD0054</t>
        </is>
      </c>
      <c r="B55" s="5" t="n">
        <v>45818</v>
      </c>
      <c r="C55" t="inlineStr">
        <is>
          <t>CUST1038</t>
        </is>
      </c>
      <c r="D55" t="inlineStr">
        <is>
          <t>P1010</t>
        </is>
      </c>
      <c r="E55" t="inlineStr">
        <is>
          <t>Notebook Pack</t>
        </is>
      </c>
      <c r="F55" t="inlineStr">
        <is>
          <t>Stationery</t>
        </is>
      </c>
      <c r="G55" t="inlineStr">
        <is>
          <t>Central</t>
        </is>
      </c>
      <c r="H55" t="inlineStr">
        <is>
          <t>In-store</t>
        </is>
      </c>
      <c r="I55" t="inlineStr">
        <is>
          <t>Anaya</t>
        </is>
      </c>
      <c r="J55" t="n">
        <v>3</v>
      </c>
      <c r="K55" s="6" t="n">
        <v>10</v>
      </c>
      <c r="L55" s="7" t="n">
        <v>0</v>
      </c>
      <c r="M55" t="inlineStr">
        <is>
          <t>Completed</t>
        </is>
      </c>
    </row>
    <row r="56">
      <c r="A56" t="inlineStr">
        <is>
          <t>ORD0055</t>
        </is>
      </c>
      <c r="B56" s="5" t="n">
        <v>46014</v>
      </c>
      <c r="C56" t="inlineStr">
        <is>
          <t>CUST1024</t>
        </is>
      </c>
      <c r="D56" t="inlineStr">
        <is>
          <t>P1007</t>
        </is>
      </c>
      <c r="E56" t="inlineStr">
        <is>
          <t>Office Chair</t>
        </is>
      </c>
      <c r="F56" t="inlineStr">
        <is>
          <t>Furniture</t>
        </is>
      </c>
      <c r="G56" t="inlineStr">
        <is>
          <t>West</t>
        </is>
      </c>
      <c r="H56" t="inlineStr">
        <is>
          <t>Marketplace</t>
        </is>
      </c>
      <c r="I56" t="inlineStr">
        <is>
          <t>Ishaan</t>
        </is>
      </c>
      <c r="J56" t="n">
        <v>1</v>
      </c>
      <c r="K56" s="6" t="n">
        <v>179</v>
      </c>
      <c r="L56" s="7" t="n">
        <v>0</v>
      </c>
      <c r="M56" t="inlineStr">
        <is>
          <t>Pending</t>
        </is>
      </c>
    </row>
    <row r="57">
      <c r="A57" t="inlineStr">
        <is>
          <t>ORD0056</t>
        </is>
      </c>
      <c r="B57" s="5" t="n">
        <v>45949</v>
      </c>
      <c r="C57" t="inlineStr">
        <is>
          <t>CUST1000</t>
        </is>
      </c>
      <c r="D57" t="inlineStr">
        <is>
          <t>P1010</t>
        </is>
      </c>
      <c r="E57" t="inlineStr">
        <is>
          <t>Notebook Pack</t>
        </is>
      </c>
      <c r="F57" t="inlineStr">
        <is>
          <t>Stationery</t>
        </is>
      </c>
      <c r="G57" t="inlineStr">
        <is>
          <t>East</t>
        </is>
      </c>
      <c r="H57" t="inlineStr">
        <is>
          <t>In-store</t>
        </is>
      </c>
      <c r="I57" t="inlineStr">
        <is>
          <t>Anaya</t>
        </is>
      </c>
      <c r="J57" t="n">
        <v>1</v>
      </c>
      <c r="K57" s="6" t="n">
        <v>10</v>
      </c>
      <c r="L57" s="7" t="n">
        <v>0.15</v>
      </c>
      <c r="M57" t="inlineStr">
        <is>
          <t>Completed</t>
        </is>
      </c>
    </row>
    <row r="58">
      <c r="A58" t="inlineStr">
        <is>
          <t>ORD0057</t>
        </is>
      </c>
      <c r="B58" s="5" t="n">
        <v>45884</v>
      </c>
      <c r="C58" t="inlineStr">
        <is>
          <t>CUST1065</t>
        </is>
      </c>
      <c r="D58" t="inlineStr">
        <is>
          <t>P1008</t>
        </is>
      </c>
      <c r="E58" t="inlineStr">
        <is>
          <t>Standing Desk</t>
        </is>
      </c>
      <c r="F58" t="inlineStr">
        <is>
          <t>Furniture</t>
        </is>
      </c>
      <c r="G58" t="inlineStr">
        <is>
          <t>West</t>
        </is>
      </c>
      <c r="H58" t="inlineStr">
        <is>
          <t>Marketplace</t>
        </is>
      </c>
      <c r="I58" t="inlineStr">
        <is>
          <t>Diya</t>
        </is>
      </c>
      <c r="J58" t="n">
        <v>2</v>
      </c>
      <c r="K58" s="6" t="n">
        <v>379</v>
      </c>
      <c r="L58" s="7" t="n">
        <v>0</v>
      </c>
      <c r="M58" t="inlineStr">
        <is>
          <t>Completed</t>
        </is>
      </c>
    </row>
    <row r="59">
      <c r="A59" t="inlineStr">
        <is>
          <t>ORD0058</t>
        </is>
      </c>
      <c r="B59" s="5" t="n">
        <v>45921</v>
      </c>
      <c r="C59" t="inlineStr">
        <is>
          <t>CUST1042</t>
        </is>
      </c>
      <c r="D59" t="inlineStr">
        <is>
          <t>P1005</t>
        </is>
      </c>
      <c r="E59" t="inlineStr">
        <is>
          <t>Monitor 27 inch</t>
        </is>
      </c>
      <c r="F59" t="inlineStr">
        <is>
          <t>Electronics</t>
        </is>
      </c>
      <c r="G59" t="inlineStr">
        <is>
          <t>North</t>
        </is>
      </c>
      <c r="H59" t="inlineStr">
        <is>
          <t>Online</t>
        </is>
      </c>
      <c r="I59" t="inlineStr">
        <is>
          <t>Meera</t>
        </is>
      </c>
      <c r="J59" t="n">
        <v>3</v>
      </c>
      <c r="K59" s="6" t="n">
        <v>299</v>
      </c>
      <c r="L59" s="7" t="n">
        <v>0.15</v>
      </c>
      <c r="M59" t="inlineStr">
        <is>
          <t>Completed</t>
        </is>
      </c>
    </row>
    <row r="60">
      <c r="A60" t="inlineStr">
        <is>
          <t>ORD0059</t>
        </is>
      </c>
      <c r="B60" s="5" t="n">
        <v>45759</v>
      </c>
      <c r="C60" t="inlineStr">
        <is>
          <t>CUST1031</t>
        </is>
      </c>
      <c r="D60" t="inlineStr">
        <is>
          <t>P1013</t>
        </is>
      </c>
      <c r="E60" t="inlineStr">
        <is>
          <t>Water Bottle</t>
        </is>
      </c>
      <c r="F60" t="inlineStr">
        <is>
          <t>Accessories</t>
        </is>
      </c>
      <c r="G60" t="inlineStr">
        <is>
          <t>West</t>
        </is>
      </c>
      <c r="H60" t="inlineStr">
        <is>
          <t>Marketplace</t>
        </is>
      </c>
      <c r="I60" t="inlineStr">
        <is>
          <t>Diya</t>
        </is>
      </c>
      <c r="J60" t="n">
        <v>1</v>
      </c>
      <c r="K60" s="6" t="n">
        <v>18</v>
      </c>
      <c r="L60" s="7" t="n">
        <v>0</v>
      </c>
      <c r="M60" t="inlineStr">
        <is>
          <t>Completed</t>
        </is>
      </c>
    </row>
    <row r="61">
      <c r="A61" t="inlineStr">
        <is>
          <t>ORD0060</t>
        </is>
      </c>
      <c r="B61" s="5" t="n">
        <v>45870</v>
      </c>
      <c r="C61" t="inlineStr">
        <is>
          <t>CUST1024</t>
        </is>
      </c>
      <c r="D61" t="inlineStr">
        <is>
          <t>P1008</t>
        </is>
      </c>
      <c r="E61" t="inlineStr">
        <is>
          <t>Standing Desk</t>
        </is>
      </c>
      <c r="F61" t="inlineStr">
        <is>
          <t>Furniture</t>
        </is>
      </c>
      <c r="G61" t="inlineStr">
        <is>
          <t>West</t>
        </is>
      </c>
      <c r="H61" t="inlineStr">
        <is>
          <t>In-store</t>
        </is>
      </c>
      <c r="I61" t="inlineStr">
        <is>
          <t>Ishaan</t>
        </is>
      </c>
      <c r="J61" t="n">
        <v>5</v>
      </c>
      <c r="K61" s="6" t="n">
        <v>379</v>
      </c>
      <c r="L61" s="7" t="n">
        <v>0.15</v>
      </c>
      <c r="M61" t="inlineStr">
        <is>
          <t>Completed</t>
        </is>
      </c>
    </row>
    <row r="62">
      <c r="A62" t="inlineStr">
        <is>
          <t>ORD0061</t>
        </is>
      </c>
      <c r="B62" s="5" t="n">
        <v>46010</v>
      </c>
      <c r="C62" t="inlineStr">
        <is>
          <t>CUST1054</t>
        </is>
      </c>
      <c r="D62" t="inlineStr">
        <is>
          <t>P1011</t>
        </is>
      </c>
      <c r="E62" t="inlineStr">
        <is>
          <t>Pen Set</t>
        </is>
      </c>
      <c r="F62" t="inlineStr">
        <is>
          <t>Stationery</t>
        </is>
      </c>
      <c r="G62" t="inlineStr">
        <is>
          <t>South</t>
        </is>
      </c>
      <c r="H62" t="inlineStr">
        <is>
          <t>Online</t>
        </is>
      </c>
      <c r="I62" t="inlineStr">
        <is>
          <t>Sara</t>
        </is>
      </c>
      <c r="J62" t="n">
        <v>1</v>
      </c>
      <c r="K62" s="6" t="n">
        <v>8</v>
      </c>
      <c r="L62" s="7" t="n">
        <v>0</v>
      </c>
      <c r="M62" t="inlineStr">
        <is>
          <t>Completed</t>
        </is>
      </c>
    </row>
    <row r="63">
      <c r="A63" t="inlineStr">
        <is>
          <t>ORD0062</t>
        </is>
      </c>
      <c r="B63" s="5" t="n">
        <v>45943</v>
      </c>
      <c r="C63" t="inlineStr">
        <is>
          <t>CUST1058</t>
        </is>
      </c>
      <c r="D63" t="inlineStr">
        <is>
          <t>P1001</t>
        </is>
      </c>
      <c r="E63" t="inlineStr">
        <is>
          <t>Laptop Pro 14</t>
        </is>
      </c>
      <c r="F63" t="inlineStr">
        <is>
          <t>Electronics</t>
        </is>
      </c>
      <c r="G63" t="inlineStr">
        <is>
          <t>South</t>
        </is>
      </c>
      <c r="H63" t="inlineStr">
        <is>
          <t>In-store</t>
        </is>
      </c>
      <c r="I63" t="inlineStr">
        <is>
          <t>Anaya</t>
        </is>
      </c>
      <c r="J63" t="n">
        <v>1</v>
      </c>
      <c r="K63" s="6" t="n">
        <v>1150</v>
      </c>
      <c r="L63" s="7" t="n">
        <v>0</v>
      </c>
      <c r="M63" t="inlineStr">
        <is>
          <t>Completed</t>
        </is>
      </c>
    </row>
    <row r="64">
      <c r="A64" t="inlineStr">
        <is>
          <t>ORD0063</t>
        </is>
      </c>
      <c r="B64" s="5" t="n">
        <v>45884</v>
      </c>
      <c r="C64" t="inlineStr">
        <is>
          <t>CUST1064</t>
        </is>
      </c>
      <c r="D64" t="inlineStr">
        <is>
          <t>P1013</t>
        </is>
      </c>
      <c r="E64" t="inlineStr">
        <is>
          <t>Water Bottle</t>
        </is>
      </c>
      <c r="F64" t="inlineStr">
        <is>
          <t>Accessories</t>
        </is>
      </c>
      <c r="G64" t="inlineStr">
        <is>
          <t>West</t>
        </is>
      </c>
      <c r="H64" t="inlineStr">
        <is>
          <t>Marketplace</t>
        </is>
      </c>
      <c r="I64" t="inlineStr">
        <is>
          <t>Ishaan</t>
        </is>
      </c>
      <c r="J64" t="n">
        <v>3</v>
      </c>
      <c r="K64" s="6" t="n">
        <v>18</v>
      </c>
      <c r="L64" s="7" t="n">
        <v>0.2</v>
      </c>
      <c r="M64" t="inlineStr">
        <is>
          <t>Completed</t>
        </is>
      </c>
    </row>
    <row r="65">
      <c r="A65" t="inlineStr">
        <is>
          <t>ORD0064</t>
        </is>
      </c>
      <c r="B65" s="5" t="n">
        <v>45901</v>
      </c>
      <c r="C65" t="inlineStr">
        <is>
          <t>CUST1035</t>
        </is>
      </c>
      <c r="D65" t="inlineStr">
        <is>
          <t>P1012</t>
        </is>
      </c>
      <c r="E65" t="inlineStr">
        <is>
          <t>Whiteboard</t>
        </is>
      </c>
      <c r="F65" t="inlineStr">
        <is>
          <t>Stationery</t>
        </is>
      </c>
      <c r="G65" t="inlineStr">
        <is>
          <t>Central</t>
        </is>
      </c>
      <c r="H65" t="inlineStr">
        <is>
          <t>In-store</t>
        </is>
      </c>
      <c r="I65" t="inlineStr">
        <is>
          <t>Kabir</t>
        </is>
      </c>
      <c r="J65" t="n">
        <v>2</v>
      </c>
      <c r="K65" s="6" t="n">
        <v>59</v>
      </c>
      <c r="L65" s="7" t="n">
        <v>0</v>
      </c>
      <c r="M65" t="inlineStr">
        <is>
          <t>Completed</t>
        </is>
      </c>
    </row>
    <row r="66">
      <c r="A66" t="inlineStr">
        <is>
          <t>ORD0065</t>
        </is>
      </c>
      <c r="B66" s="5" t="n">
        <v>45697</v>
      </c>
      <c r="C66" t="inlineStr">
        <is>
          <t>CUST1034</t>
        </is>
      </c>
      <c r="D66" t="inlineStr">
        <is>
          <t>P1008</t>
        </is>
      </c>
      <c r="E66" t="inlineStr">
        <is>
          <t>Standing Desk</t>
        </is>
      </c>
      <c r="F66" t="inlineStr">
        <is>
          <t>Furniture</t>
        </is>
      </c>
      <c r="G66" t="inlineStr">
        <is>
          <t>East</t>
        </is>
      </c>
      <c r="H66" t="inlineStr">
        <is>
          <t>In-store</t>
        </is>
      </c>
      <c r="I66" t="inlineStr">
        <is>
          <t>Diya</t>
        </is>
      </c>
      <c r="J66" t="n">
        <v>3</v>
      </c>
      <c r="K66" s="6" t="n">
        <v>379</v>
      </c>
      <c r="L66" s="7" t="n">
        <v>0</v>
      </c>
      <c r="M66" t="inlineStr">
        <is>
          <t>Pending</t>
        </is>
      </c>
    </row>
    <row r="67">
      <c r="A67" t="inlineStr">
        <is>
          <t>ORD0066</t>
        </is>
      </c>
      <c r="B67" s="5" t="n">
        <v>45735</v>
      </c>
      <c r="C67" t="inlineStr">
        <is>
          <t>CUST1019</t>
        </is>
      </c>
      <c r="D67" t="inlineStr">
        <is>
          <t>P1003</t>
        </is>
      </c>
      <c r="E67" t="inlineStr">
        <is>
          <t>Mechanical Keyboard</t>
        </is>
      </c>
      <c r="F67" t="inlineStr">
        <is>
          <t>Electronics</t>
        </is>
      </c>
      <c r="G67" t="inlineStr">
        <is>
          <t>South</t>
        </is>
      </c>
      <c r="H67" t="inlineStr">
        <is>
          <t>Online</t>
        </is>
      </c>
      <c r="I67" t="inlineStr">
        <is>
          <t>Anaya</t>
        </is>
      </c>
      <c r="J67" t="n">
        <v>1</v>
      </c>
      <c r="K67" s="6" t="n">
        <v>75</v>
      </c>
      <c r="L67" s="7" t="n">
        <v>0.2</v>
      </c>
      <c r="M67" t="inlineStr">
        <is>
          <t>Completed</t>
        </is>
      </c>
    </row>
    <row r="68">
      <c r="A68" t="inlineStr">
        <is>
          <t>ORD0067</t>
        </is>
      </c>
      <c r="B68" s="5" t="n">
        <v>45896</v>
      </c>
      <c r="C68" t="inlineStr">
        <is>
          <t>CUST1053</t>
        </is>
      </c>
      <c r="D68" t="inlineStr">
        <is>
          <t>P1009</t>
        </is>
      </c>
      <c r="E68" t="inlineStr">
        <is>
          <t>Desk Lamp</t>
        </is>
      </c>
      <c r="F68" t="inlineStr">
        <is>
          <t>Furniture</t>
        </is>
      </c>
      <c r="G68" t="inlineStr">
        <is>
          <t>West</t>
        </is>
      </c>
      <c r="H68" t="inlineStr">
        <is>
          <t>Marketplace</t>
        </is>
      </c>
      <c r="I68" t="inlineStr">
        <is>
          <t>Aarav</t>
        </is>
      </c>
      <c r="J68" t="n">
        <v>2</v>
      </c>
      <c r="K68" s="6" t="n">
        <v>39</v>
      </c>
      <c r="L68" s="7" t="n">
        <v>0</v>
      </c>
      <c r="M68" t="inlineStr">
        <is>
          <t>Pending</t>
        </is>
      </c>
    </row>
    <row r="69">
      <c r="A69" t="inlineStr">
        <is>
          <t>ORD0068</t>
        </is>
      </c>
      <c r="B69" s="5" t="n">
        <v>45952</v>
      </c>
      <c r="C69" t="inlineStr">
        <is>
          <t>CUST1045</t>
        </is>
      </c>
      <c r="D69" t="inlineStr">
        <is>
          <t>P1014</t>
        </is>
      </c>
      <c r="E69" t="inlineStr">
        <is>
          <t>Backpack</t>
        </is>
      </c>
      <c r="F69" t="inlineStr">
        <is>
          <t>Accessories</t>
        </is>
      </c>
      <c r="G69" t="inlineStr">
        <is>
          <t>East</t>
        </is>
      </c>
      <c r="H69" t="inlineStr">
        <is>
          <t>In-store</t>
        </is>
      </c>
      <c r="I69" t="inlineStr">
        <is>
          <t>Rohan</t>
        </is>
      </c>
      <c r="J69" t="n">
        <v>2</v>
      </c>
      <c r="K69" s="6" t="n">
        <v>49</v>
      </c>
      <c r="L69" s="7" t="n">
        <v>0</v>
      </c>
      <c r="M69" t="inlineStr">
        <is>
          <t>Completed</t>
        </is>
      </c>
    </row>
    <row r="70">
      <c r="A70" t="inlineStr">
        <is>
          <t>ORD0069</t>
        </is>
      </c>
      <c r="B70" s="5" t="n">
        <v>45937</v>
      </c>
      <c r="C70" t="inlineStr">
        <is>
          <t>CUST1062</t>
        </is>
      </c>
      <c r="D70" t="inlineStr">
        <is>
          <t>P1009</t>
        </is>
      </c>
      <c r="E70" t="inlineStr">
        <is>
          <t>Desk Lamp</t>
        </is>
      </c>
      <c r="F70" t="inlineStr">
        <is>
          <t>Furniture</t>
        </is>
      </c>
      <c r="G70" t="inlineStr">
        <is>
          <t>South</t>
        </is>
      </c>
      <c r="H70" t="inlineStr">
        <is>
          <t>In-store</t>
        </is>
      </c>
      <c r="I70" t="inlineStr">
        <is>
          <t>Aarav</t>
        </is>
      </c>
      <c r="J70" t="n">
        <v>4</v>
      </c>
      <c r="K70" s="6" t="n">
        <v>39</v>
      </c>
      <c r="L70" s="7" t="n">
        <v>0</v>
      </c>
      <c r="M70" t="inlineStr">
        <is>
          <t>Completed</t>
        </is>
      </c>
    </row>
    <row r="71">
      <c r="A71" t="inlineStr">
        <is>
          <t>ORD0070</t>
        </is>
      </c>
      <c r="B71" s="5" t="n">
        <v>45830</v>
      </c>
      <c r="C71" t="inlineStr">
        <is>
          <t>CUST1021</t>
        </is>
      </c>
      <c r="D71" t="inlineStr">
        <is>
          <t>P1007</t>
        </is>
      </c>
      <c r="E71" t="inlineStr">
        <is>
          <t>Office Chair</t>
        </is>
      </c>
      <c r="F71" t="inlineStr">
        <is>
          <t>Furniture</t>
        </is>
      </c>
      <c r="G71" t="inlineStr">
        <is>
          <t>West</t>
        </is>
      </c>
      <c r="H71" t="inlineStr">
        <is>
          <t>Online</t>
        </is>
      </c>
      <c r="I71" t="inlineStr">
        <is>
          <t>Aarav</t>
        </is>
      </c>
      <c r="J71" t="n">
        <v>3</v>
      </c>
      <c r="K71" s="6" t="n">
        <v>179</v>
      </c>
      <c r="L71" s="7" t="n">
        <v>0.1</v>
      </c>
      <c r="M71" t="inlineStr">
        <is>
          <t>Returned</t>
        </is>
      </c>
    </row>
    <row r="72">
      <c r="A72" t="inlineStr">
        <is>
          <t>ORD0071</t>
        </is>
      </c>
      <c r="B72" s="5" t="n">
        <v>45859</v>
      </c>
      <c r="C72" t="inlineStr">
        <is>
          <t>CUST1003</t>
        </is>
      </c>
      <c r="D72" t="inlineStr">
        <is>
          <t>P1015</t>
        </is>
      </c>
      <c r="E72" t="inlineStr">
        <is>
          <t>Phone Stand</t>
        </is>
      </c>
      <c r="F72" t="inlineStr">
        <is>
          <t>Accessories</t>
        </is>
      </c>
      <c r="G72" t="inlineStr">
        <is>
          <t>North</t>
        </is>
      </c>
      <c r="H72" t="inlineStr">
        <is>
          <t>Marketplace</t>
        </is>
      </c>
      <c r="I72" t="inlineStr">
        <is>
          <t>Sara</t>
        </is>
      </c>
      <c r="J72" t="n">
        <v>3</v>
      </c>
      <c r="K72" s="6" t="n">
        <v>16</v>
      </c>
      <c r="L72" s="7" t="n">
        <v>0.2</v>
      </c>
      <c r="M72" t="inlineStr">
        <is>
          <t>Completed</t>
        </is>
      </c>
    </row>
    <row r="73">
      <c r="A73" t="inlineStr">
        <is>
          <t>ORD0072</t>
        </is>
      </c>
      <c r="B73" s="5" t="n">
        <v>45683</v>
      </c>
      <c r="C73" t="inlineStr">
        <is>
          <t>CUST1027</t>
        </is>
      </c>
      <c r="D73" t="inlineStr">
        <is>
          <t>P1003</t>
        </is>
      </c>
      <c r="E73" t="inlineStr">
        <is>
          <t>Mechanical Keyboard</t>
        </is>
      </c>
      <c r="F73" t="inlineStr">
        <is>
          <t>Electronics</t>
        </is>
      </c>
      <c r="G73" t="inlineStr">
        <is>
          <t>West</t>
        </is>
      </c>
      <c r="H73" t="inlineStr">
        <is>
          <t>In-store</t>
        </is>
      </c>
      <c r="I73" t="inlineStr">
        <is>
          <t>Rohan</t>
        </is>
      </c>
      <c r="J73" t="n">
        <v>1</v>
      </c>
      <c r="K73" s="6" t="n">
        <v>75</v>
      </c>
      <c r="L73" s="7" t="n">
        <v>0.05</v>
      </c>
      <c r="M73" t="inlineStr">
        <is>
          <t>Completed</t>
        </is>
      </c>
    </row>
    <row r="74">
      <c r="A74" t="inlineStr">
        <is>
          <t>ORD0073</t>
        </is>
      </c>
      <c r="B74" s="5" t="n">
        <v>45873</v>
      </c>
      <c r="C74" t="inlineStr">
        <is>
          <t>CUST1060</t>
        </is>
      </c>
      <c r="D74" t="inlineStr">
        <is>
          <t>P1005</t>
        </is>
      </c>
      <c r="E74" t="inlineStr">
        <is>
          <t>Monitor 27 inch</t>
        </is>
      </c>
      <c r="F74" t="inlineStr">
        <is>
          <t>Electronics</t>
        </is>
      </c>
      <c r="G74" t="inlineStr">
        <is>
          <t>North</t>
        </is>
      </c>
      <c r="H74" t="inlineStr">
        <is>
          <t>Marketplace</t>
        </is>
      </c>
      <c r="I74" t="inlineStr">
        <is>
          <t>Anaya</t>
        </is>
      </c>
      <c r="J74" t="n">
        <v>1</v>
      </c>
      <c r="K74" s="6" t="n">
        <v>299</v>
      </c>
      <c r="L74" s="7" t="n">
        <v>0</v>
      </c>
      <c r="M74" t="inlineStr">
        <is>
          <t>Completed</t>
        </is>
      </c>
    </row>
    <row r="75">
      <c r="A75" t="inlineStr">
        <is>
          <t>ORD0074</t>
        </is>
      </c>
      <c r="B75" s="5" t="n">
        <v>45990</v>
      </c>
      <c r="C75" t="inlineStr">
        <is>
          <t>CUST1005</t>
        </is>
      </c>
      <c r="D75" t="inlineStr">
        <is>
          <t>P1004</t>
        </is>
      </c>
      <c r="E75" t="inlineStr">
        <is>
          <t>USB-C Hub</t>
        </is>
      </c>
      <c r="F75" t="inlineStr">
        <is>
          <t>Electronics</t>
        </is>
      </c>
      <c r="G75" t="inlineStr">
        <is>
          <t>North</t>
        </is>
      </c>
      <c r="H75" t="inlineStr">
        <is>
          <t>Online</t>
        </is>
      </c>
      <c r="I75" t="inlineStr">
        <is>
          <t>Aarav</t>
        </is>
      </c>
      <c r="J75" t="n">
        <v>1</v>
      </c>
      <c r="K75" s="6" t="n">
        <v>49</v>
      </c>
      <c r="L75" s="7" t="n">
        <v>0.2</v>
      </c>
      <c r="M75" t="inlineStr">
        <is>
          <t>Completed</t>
        </is>
      </c>
    </row>
    <row r="76">
      <c r="A76" t="inlineStr">
        <is>
          <t>ORD0075</t>
        </is>
      </c>
      <c r="B76" s="5" t="n">
        <v>45736</v>
      </c>
      <c r="C76" t="inlineStr">
        <is>
          <t>CUST1014</t>
        </is>
      </c>
      <c r="D76" t="inlineStr">
        <is>
          <t>P1010</t>
        </is>
      </c>
      <c r="E76" t="inlineStr">
        <is>
          <t>Notebook Pack</t>
        </is>
      </c>
      <c r="F76" t="inlineStr">
        <is>
          <t>Stationery</t>
        </is>
      </c>
      <c r="G76" t="inlineStr">
        <is>
          <t>Central</t>
        </is>
      </c>
      <c r="H76" t="inlineStr">
        <is>
          <t>Online</t>
        </is>
      </c>
      <c r="I76" t="inlineStr">
        <is>
          <t>Kabir</t>
        </is>
      </c>
      <c r="J76" t="n">
        <v>1</v>
      </c>
      <c r="K76" s="6" t="n">
        <v>10</v>
      </c>
      <c r="L76" s="7" t="n">
        <v>0.1</v>
      </c>
      <c r="M76" t="inlineStr">
        <is>
          <t>Completed</t>
        </is>
      </c>
    </row>
    <row r="77">
      <c r="A77" t="inlineStr">
        <is>
          <t>ORD0076</t>
        </is>
      </c>
      <c r="B77" s="5" t="n">
        <v>45846</v>
      </c>
      <c r="C77" t="inlineStr">
        <is>
          <t>CUST1014</t>
        </is>
      </c>
      <c r="D77" t="inlineStr">
        <is>
          <t>P1013</t>
        </is>
      </c>
      <c r="E77" t="inlineStr">
        <is>
          <t>Water Bottle</t>
        </is>
      </c>
      <c r="F77" t="inlineStr">
        <is>
          <t>Accessories</t>
        </is>
      </c>
      <c r="G77" t="inlineStr">
        <is>
          <t>South</t>
        </is>
      </c>
      <c r="H77" t="inlineStr">
        <is>
          <t>In-store</t>
        </is>
      </c>
      <c r="I77" t="inlineStr">
        <is>
          <t>Aarav</t>
        </is>
      </c>
      <c r="J77" t="n">
        <v>1</v>
      </c>
      <c r="K77" s="6" t="n">
        <v>18</v>
      </c>
      <c r="L77" s="7" t="n">
        <v>0.15</v>
      </c>
      <c r="M77" t="inlineStr">
        <is>
          <t>Completed</t>
        </is>
      </c>
    </row>
    <row r="78">
      <c r="A78" t="inlineStr">
        <is>
          <t>ORD0077</t>
        </is>
      </c>
      <c r="B78" s="5" t="n">
        <v>45817</v>
      </c>
      <c r="C78" t="inlineStr">
        <is>
          <t>CUST1050</t>
        </is>
      </c>
      <c r="D78" t="inlineStr">
        <is>
          <t>P1015</t>
        </is>
      </c>
      <c r="E78" t="inlineStr">
        <is>
          <t>Phone Stand</t>
        </is>
      </c>
      <c r="F78" t="inlineStr">
        <is>
          <t>Accessories</t>
        </is>
      </c>
      <c r="G78" t="inlineStr">
        <is>
          <t>South</t>
        </is>
      </c>
      <c r="H78" t="inlineStr">
        <is>
          <t>Online</t>
        </is>
      </c>
      <c r="I78" t="inlineStr">
        <is>
          <t>Meera</t>
        </is>
      </c>
      <c r="J78" t="n">
        <v>2</v>
      </c>
      <c r="K78" s="6" t="n">
        <v>16</v>
      </c>
      <c r="L78" s="7" t="n">
        <v>0.1</v>
      </c>
      <c r="M78" t="inlineStr">
        <is>
          <t>Completed</t>
        </is>
      </c>
    </row>
    <row r="79">
      <c r="A79" t="inlineStr">
        <is>
          <t>ORD0078</t>
        </is>
      </c>
      <c r="B79" s="5" t="n">
        <v>46014</v>
      </c>
      <c r="C79" t="inlineStr">
        <is>
          <t>CUST1076</t>
        </is>
      </c>
      <c r="D79" t="inlineStr">
        <is>
          <t>P1002</t>
        </is>
      </c>
      <c r="E79" t="inlineStr">
        <is>
          <t>Wireless Mouse</t>
        </is>
      </c>
      <c r="F79" t="inlineStr">
        <is>
          <t>Electronics</t>
        </is>
      </c>
      <c r="G79" t="inlineStr">
        <is>
          <t>North</t>
        </is>
      </c>
      <c r="H79" t="inlineStr">
        <is>
          <t>Marketplace</t>
        </is>
      </c>
      <c r="I79" t="inlineStr">
        <is>
          <t>Anaya</t>
        </is>
      </c>
      <c r="J79" t="n">
        <v>4</v>
      </c>
      <c r="K79" s="6" t="n">
        <v>25</v>
      </c>
      <c r="L79" s="7" t="n">
        <v>0.2</v>
      </c>
      <c r="M79" t="inlineStr">
        <is>
          <t>Completed</t>
        </is>
      </c>
    </row>
    <row r="80">
      <c r="A80" t="inlineStr">
        <is>
          <t>ORD0079</t>
        </is>
      </c>
      <c r="B80" s="5" t="n">
        <v>45877</v>
      </c>
      <c r="C80" t="inlineStr">
        <is>
          <t>CUST1064</t>
        </is>
      </c>
      <c r="D80" t="inlineStr">
        <is>
          <t>P1009</t>
        </is>
      </c>
      <c r="E80" t="inlineStr">
        <is>
          <t>Desk Lamp</t>
        </is>
      </c>
      <c r="F80" t="inlineStr">
        <is>
          <t>Furniture</t>
        </is>
      </c>
      <c r="G80" t="inlineStr">
        <is>
          <t>East</t>
        </is>
      </c>
      <c r="H80" t="inlineStr">
        <is>
          <t>Online</t>
        </is>
      </c>
      <c r="I80" t="inlineStr">
        <is>
          <t>Sara</t>
        </is>
      </c>
      <c r="J80" t="n">
        <v>3</v>
      </c>
      <c r="K80" s="6" t="n">
        <v>39</v>
      </c>
      <c r="L80" s="7" t="n">
        <v>0</v>
      </c>
      <c r="M80" t="inlineStr">
        <is>
          <t>Completed</t>
        </is>
      </c>
    </row>
    <row r="81">
      <c r="A81" t="inlineStr">
        <is>
          <t>ORD0080</t>
        </is>
      </c>
      <c r="B81" s="5" t="n">
        <v>45879</v>
      </c>
      <c r="C81" t="inlineStr">
        <is>
          <t>CUST1058</t>
        </is>
      </c>
      <c r="D81" t="inlineStr">
        <is>
          <t>P1002</t>
        </is>
      </c>
      <c r="E81" t="inlineStr">
        <is>
          <t>Wireless Mouse</t>
        </is>
      </c>
      <c r="F81" t="inlineStr">
        <is>
          <t>Electronics</t>
        </is>
      </c>
      <c r="G81" t="inlineStr">
        <is>
          <t>South</t>
        </is>
      </c>
      <c r="H81" t="inlineStr">
        <is>
          <t>In-store</t>
        </is>
      </c>
      <c r="I81" t="inlineStr">
        <is>
          <t>Kabir</t>
        </is>
      </c>
      <c r="J81" t="n">
        <v>8</v>
      </c>
      <c r="K81" s="6" t="n">
        <v>25</v>
      </c>
      <c r="L81" s="7" t="n">
        <v>0.2</v>
      </c>
      <c r="M81" t="inlineStr">
        <is>
          <t>Completed</t>
        </is>
      </c>
    </row>
    <row r="82">
      <c r="A82" t="inlineStr">
        <is>
          <t>ORD0081</t>
        </is>
      </c>
      <c r="B82" s="5" t="n">
        <v>45933</v>
      </c>
      <c r="C82" t="inlineStr">
        <is>
          <t>CUST1055</t>
        </is>
      </c>
      <c r="D82" t="inlineStr">
        <is>
          <t>P1010</t>
        </is>
      </c>
      <c r="E82" t="inlineStr">
        <is>
          <t>Notebook Pack</t>
        </is>
      </c>
      <c r="F82" t="inlineStr">
        <is>
          <t>Stationery</t>
        </is>
      </c>
      <c r="G82" t="inlineStr">
        <is>
          <t>Central</t>
        </is>
      </c>
      <c r="H82" t="inlineStr">
        <is>
          <t>In-store</t>
        </is>
      </c>
      <c r="I82" t="inlineStr">
        <is>
          <t>Meera</t>
        </is>
      </c>
      <c r="J82" t="n">
        <v>4</v>
      </c>
      <c r="K82" s="6" t="n">
        <v>10</v>
      </c>
      <c r="L82" s="7" t="n">
        <v>0.1</v>
      </c>
      <c r="M82" t="inlineStr">
        <is>
          <t>Completed</t>
        </is>
      </c>
    </row>
    <row r="83">
      <c r="A83" t="inlineStr">
        <is>
          <t>ORD0082</t>
        </is>
      </c>
      <c r="B83" s="5" t="n">
        <v>45702</v>
      </c>
      <c r="C83" t="inlineStr">
        <is>
          <t>CUST1031</t>
        </is>
      </c>
      <c r="D83" t="inlineStr">
        <is>
          <t>P1014</t>
        </is>
      </c>
      <c r="E83" t="inlineStr">
        <is>
          <t>Backpack</t>
        </is>
      </c>
      <c r="F83" t="inlineStr">
        <is>
          <t>Accessories</t>
        </is>
      </c>
      <c r="G83" t="inlineStr">
        <is>
          <t>West</t>
        </is>
      </c>
      <c r="H83" t="inlineStr">
        <is>
          <t>Marketplace</t>
        </is>
      </c>
      <c r="I83" t="inlineStr">
        <is>
          <t>Rohan</t>
        </is>
      </c>
      <c r="J83" t="n">
        <v>1</v>
      </c>
      <c r="K83" s="6" t="n">
        <v>49</v>
      </c>
      <c r="L83" s="7" t="n">
        <v>0.1</v>
      </c>
      <c r="M83" t="inlineStr">
        <is>
          <t>Completed</t>
        </is>
      </c>
    </row>
    <row r="84">
      <c r="A84" t="inlineStr">
        <is>
          <t>ORD0083</t>
        </is>
      </c>
      <c r="B84" s="5" t="n">
        <v>45672</v>
      </c>
      <c r="C84" t="inlineStr">
        <is>
          <t>CUST1023</t>
        </is>
      </c>
      <c r="D84" t="inlineStr">
        <is>
          <t>P1006</t>
        </is>
      </c>
      <c r="E84" t="inlineStr">
        <is>
          <t>Webcam HD</t>
        </is>
      </c>
      <c r="F84" t="inlineStr">
        <is>
          <t>Electronics</t>
        </is>
      </c>
      <c r="G84" t="inlineStr">
        <is>
          <t>West</t>
        </is>
      </c>
      <c r="H84" t="inlineStr">
        <is>
          <t>Online</t>
        </is>
      </c>
      <c r="I84" t="inlineStr">
        <is>
          <t>Kabir</t>
        </is>
      </c>
      <c r="J84" t="n">
        <v>2</v>
      </c>
      <c r="K84" s="6" t="n">
        <v>69</v>
      </c>
      <c r="L84" s="7" t="n">
        <v>0.05</v>
      </c>
      <c r="M84" t="inlineStr">
        <is>
          <t>Completed</t>
        </is>
      </c>
    </row>
    <row r="85">
      <c r="A85" t="inlineStr">
        <is>
          <t>ORD0084</t>
        </is>
      </c>
      <c r="B85" s="5" t="n">
        <v>45801</v>
      </c>
      <c r="C85" t="inlineStr">
        <is>
          <t>CUST1035</t>
        </is>
      </c>
      <c r="D85" t="inlineStr">
        <is>
          <t>P1006</t>
        </is>
      </c>
      <c r="E85" t="inlineStr">
        <is>
          <t>Webcam HD</t>
        </is>
      </c>
      <c r="F85" t="inlineStr">
        <is>
          <t>Electronics</t>
        </is>
      </c>
      <c r="G85" t="inlineStr">
        <is>
          <t>Central</t>
        </is>
      </c>
      <c r="H85" t="inlineStr">
        <is>
          <t>Online</t>
        </is>
      </c>
      <c r="I85" t="inlineStr">
        <is>
          <t>Meera</t>
        </is>
      </c>
      <c r="J85" t="n">
        <v>5</v>
      </c>
      <c r="K85" s="6" t="n">
        <v>69</v>
      </c>
      <c r="L85" s="7" t="n">
        <v>0.2</v>
      </c>
      <c r="M85" t="inlineStr">
        <is>
          <t>Completed</t>
        </is>
      </c>
    </row>
    <row r="86">
      <c r="A86" t="inlineStr">
        <is>
          <t>ORD0085</t>
        </is>
      </c>
      <c r="B86" s="5" t="n">
        <v>45781</v>
      </c>
      <c r="C86" t="inlineStr">
        <is>
          <t>CUST1071</t>
        </is>
      </c>
      <c r="D86" t="inlineStr">
        <is>
          <t>P1002</t>
        </is>
      </c>
      <c r="E86" t="inlineStr">
        <is>
          <t>Wireless Mouse</t>
        </is>
      </c>
      <c r="F86" t="inlineStr">
        <is>
          <t>Electronics</t>
        </is>
      </c>
      <c r="G86" t="inlineStr">
        <is>
          <t>South</t>
        </is>
      </c>
      <c r="H86" t="inlineStr">
        <is>
          <t>Marketplace</t>
        </is>
      </c>
      <c r="I86" t="inlineStr">
        <is>
          <t>Sara</t>
        </is>
      </c>
      <c r="J86" t="n">
        <v>3</v>
      </c>
      <c r="K86" s="6" t="n">
        <v>25</v>
      </c>
      <c r="L86" s="7" t="n">
        <v>0.1</v>
      </c>
      <c r="M86" t="inlineStr">
        <is>
          <t>Completed</t>
        </is>
      </c>
    </row>
    <row r="87">
      <c r="A87" t="inlineStr">
        <is>
          <t>ORD0086</t>
        </is>
      </c>
      <c r="B87" s="5" t="n">
        <v>45666</v>
      </c>
      <c r="C87" t="inlineStr">
        <is>
          <t>CUST1051</t>
        </is>
      </c>
      <c r="D87" t="inlineStr">
        <is>
          <t>P1008</t>
        </is>
      </c>
      <c r="E87" t="inlineStr">
        <is>
          <t>Standing Desk</t>
        </is>
      </c>
      <c r="F87" t="inlineStr">
        <is>
          <t>Furniture</t>
        </is>
      </c>
      <c r="G87" t="inlineStr">
        <is>
          <t>South</t>
        </is>
      </c>
      <c r="H87" t="inlineStr">
        <is>
          <t>In-store</t>
        </is>
      </c>
      <c r="I87" t="inlineStr">
        <is>
          <t>Anaya</t>
        </is>
      </c>
      <c r="J87" t="n">
        <v>1</v>
      </c>
      <c r="K87" s="6" t="n">
        <v>379</v>
      </c>
      <c r="L87" s="7" t="n">
        <v>0</v>
      </c>
      <c r="M87" t="inlineStr">
        <is>
          <t>Completed</t>
        </is>
      </c>
    </row>
    <row r="88">
      <c r="A88" t="inlineStr">
        <is>
          <t>ORD0087</t>
        </is>
      </c>
      <c r="B88" s="5" t="n">
        <v>45941</v>
      </c>
      <c r="C88" t="inlineStr">
        <is>
          <t>CUST1070</t>
        </is>
      </c>
      <c r="D88" t="inlineStr">
        <is>
          <t>P1008</t>
        </is>
      </c>
      <c r="E88" t="inlineStr">
        <is>
          <t>Standing Desk</t>
        </is>
      </c>
      <c r="F88" t="inlineStr">
        <is>
          <t>Furniture</t>
        </is>
      </c>
      <c r="G88" t="inlineStr">
        <is>
          <t>East</t>
        </is>
      </c>
      <c r="H88" t="inlineStr">
        <is>
          <t>In-store</t>
        </is>
      </c>
      <c r="I88" t="inlineStr">
        <is>
          <t>Kabir</t>
        </is>
      </c>
      <c r="J88" t="n">
        <v>2</v>
      </c>
      <c r="K88" s="6" t="n">
        <v>379</v>
      </c>
      <c r="L88" s="7" t="n">
        <v>0.1</v>
      </c>
      <c r="M88" t="inlineStr">
        <is>
          <t>Completed</t>
        </is>
      </c>
    </row>
    <row r="89">
      <c r="A89" t="inlineStr">
        <is>
          <t>ORD0088</t>
        </is>
      </c>
      <c r="B89" s="5" t="n">
        <v>45786</v>
      </c>
      <c r="C89" t="inlineStr">
        <is>
          <t>CUST1024</t>
        </is>
      </c>
      <c r="D89" t="inlineStr">
        <is>
          <t>P1005</t>
        </is>
      </c>
      <c r="E89" t="inlineStr">
        <is>
          <t>Monitor 27 inch</t>
        </is>
      </c>
      <c r="F89" t="inlineStr">
        <is>
          <t>Electronics</t>
        </is>
      </c>
      <c r="G89" t="inlineStr">
        <is>
          <t>East</t>
        </is>
      </c>
      <c r="H89" t="inlineStr">
        <is>
          <t>Online</t>
        </is>
      </c>
      <c r="I89" t="inlineStr">
        <is>
          <t>Ishaan</t>
        </is>
      </c>
      <c r="J89" t="n">
        <v>1</v>
      </c>
      <c r="K89" s="6" t="n">
        <v>299</v>
      </c>
      <c r="L89" s="7" t="n">
        <v>0.2</v>
      </c>
      <c r="M89" t="inlineStr">
        <is>
          <t>Completed</t>
        </is>
      </c>
    </row>
    <row r="90">
      <c r="A90" t="inlineStr">
        <is>
          <t>ORD0089</t>
        </is>
      </c>
      <c r="B90" s="5" t="n">
        <v>45768</v>
      </c>
      <c r="C90" t="inlineStr">
        <is>
          <t>CUST1075</t>
        </is>
      </c>
      <c r="D90" t="inlineStr">
        <is>
          <t>P1004</t>
        </is>
      </c>
      <c r="E90" t="inlineStr">
        <is>
          <t>USB-C Hub</t>
        </is>
      </c>
      <c r="F90" t="inlineStr">
        <is>
          <t>Electronics</t>
        </is>
      </c>
      <c r="G90" t="inlineStr">
        <is>
          <t>Central</t>
        </is>
      </c>
      <c r="H90" t="inlineStr">
        <is>
          <t>Marketplace</t>
        </is>
      </c>
      <c r="I90" t="inlineStr">
        <is>
          <t>Diya</t>
        </is>
      </c>
      <c r="J90" t="n">
        <v>3</v>
      </c>
      <c r="K90" s="6" t="n">
        <v>49</v>
      </c>
      <c r="L90" s="7" t="n">
        <v>0.05</v>
      </c>
      <c r="M90" t="inlineStr">
        <is>
          <t>Completed</t>
        </is>
      </c>
    </row>
    <row r="91">
      <c r="A91" t="inlineStr">
        <is>
          <t>ORD0090</t>
        </is>
      </c>
      <c r="B91" s="5" t="n">
        <v>45757</v>
      </c>
      <c r="C91" t="inlineStr">
        <is>
          <t>CUST1022</t>
        </is>
      </c>
      <c r="D91" t="inlineStr">
        <is>
          <t>P1014</t>
        </is>
      </c>
      <c r="E91" t="inlineStr">
        <is>
          <t>Backpack</t>
        </is>
      </c>
      <c r="F91" t="inlineStr">
        <is>
          <t>Accessories</t>
        </is>
      </c>
      <c r="G91" t="inlineStr">
        <is>
          <t>East</t>
        </is>
      </c>
      <c r="H91" t="inlineStr">
        <is>
          <t>Online</t>
        </is>
      </c>
      <c r="I91" t="inlineStr">
        <is>
          <t>Ishaan</t>
        </is>
      </c>
      <c r="J91" t="n">
        <v>1</v>
      </c>
      <c r="K91" s="6" t="n">
        <v>49</v>
      </c>
      <c r="L91" s="7" t="n">
        <v>0.05</v>
      </c>
      <c r="M91" t="inlineStr">
        <is>
          <t>Completed</t>
        </is>
      </c>
    </row>
    <row r="92">
      <c r="A92" t="inlineStr">
        <is>
          <t>ORD0091</t>
        </is>
      </c>
      <c r="B92" s="5" t="n">
        <v>45681</v>
      </c>
      <c r="C92" t="inlineStr">
        <is>
          <t>CUST1037</t>
        </is>
      </c>
      <c r="D92" t="inlineStr">
        <is>
          <t>P1005</t>
        </is>
      </c>
      <c r="E92" t="inlineStr">
        <is>
          <t>Monitor 27 inch</t>
        </is>
      </c>
      <c r="F92" t="inlineStr">
        <is>
          <t>Electronics</t>
        </is>
      </c>
      <c r="G92" t="inlineStr">
        <is>
          <t>South</t>
        </is>
      </c>
      <c r="H92" t="inlineStr">
        <is>
          <t>Marketplace</t>
        </is>
      </c>
      <c r="I92" t="inlineStr">
        <is>
          <t>Sara</t>
        </is>
      </c>
      <c r="J92" t="n">
        <v>10</v>
      </c>
      <c r="K92" s="6" t="n">
        <v>299</v>
      </c>
      <c r="L92" s="7" t="n">
        <v>0.15</v>
      </c>
      <c r="M92" t="inlineStr">
        <is>
          <t>Completed</t>
        </is>
      </c>
    </row>
    <row r="93">
      <c r="A93" t="inlineStr">
        <is>
          <t>ORD0092</t>
        </is>
      </c>
      <c r="B93" s="5" t="n">
        <v>45664</v>
      </c>
      <c r="C93" t="inlineStr">
        <is>
          <t>CUST1061</t>
        </is>
      </c>
      <c r="D93" t="inlineStr">
        <is>
          <t>P1002</t>
        </is>
      </c>
      <c r="E93" t="inlineStr">
        <is>
          <t>Wireless Mouse</t>
        </is>
      </c>
      <c r="F93" t="inlineStr">
        <is>
          <t>Electronics</t>
        </is>
      </c>
      <c r="G93" t="inlineStr">
        <is>
          <t>West</t>
        </is>
      </c>
      <c r="H93" t="inlineStr">
        <is>
          <t>In-store</t>
        </is>
      </c>
      <c r="I93" t="inlineStr">
        <is>
          <t>Aarav</t>
        </is>
      </c>
      <c r="J93" t="n">
        <v>2</v>
      </c>
      <c r="K93" s="6" t="n">
        <v>25</v>
      </c>
      <c r="L93" s="7" t="n">
        <v>0.1</v>
      </c>
      <c r="M93" t="inlineStr">
        <is>
          <t>Completed</t>
        </is>
      </c>
    </row>
    <row r="94">
      <c r="A94" t="inlineStr">
        <is>
          <t>ORD0093</t>
        </is>
      </c>
      <c r="B94" s="5" t="n">
        <v>45902</v>
      </c>
      <c r="C94" t="inlineStr">
        <is>
          <t>CUST1051</t>
        </is>
      </c>
      <c r="D94" t="inlineStr">
        <is>
          <t>P1005</t>
        </is>
      </c>
      <c r="E94" t="inlineStr">
        <is>
          <t>Monitor 27 inch</t>
        </is>
      </c>
      <c r="F94" t="inlineStr">
        <is>
          <t>Electronics</t>
        </is>
      </c>
      <c r="G94" t="inlineStr">
        <is>
          <t>West</t>
        </is>
      </c>
      <c r="H94" t="inlineStr">
        <is>
          <t>Online</t>
        </is>
      </c>
      <c r="I94" t="inlineStr">
        <is>
          <t>Aarav</t>
        </is>
      </c>
      <c r="J94" t="n">
        <v>1</v>
      </c>
      <c r="K94" s="6" t="n">
        <v>299</v>
      </c>
      <c r="L94" s="7" t="n">
        <v>0</v>
      </c>
      <c r="M94" t="inlineStr">
        <is>
          <t>Completed</t>
        </is>
      </c>
    </row>
    <row r="95">
      <c r="A95" t="inlineStr">
        <is>
          <t>ORD0094</t>
        </is>
      </c>
      <c r="B95" s="5" t="n">
        <v>45734</v>
      </c>
      <c r="C95" t="inlineStr">
        <is>
          <t>CUST1010</t>
        </is>
      </c>
      <c r="D95" t="inlineStr">
        <is>
          <t>P1003</t>
        </is>
      </c>
      <c r="E95" t="inlineStr">
        <is>
          <t>Mechanical Keyboard</t>
        </is>
      </c>
      <c r="F95" t="inlineStr">
        <is>
          <t>Electronics</t>
        </is>
      </c>
      <c r="G95" t="inlineStr">
        <is>
          <t>South</t>
        </is>
      </c>
      <c r="H95" t="inlineStr">
        <is>
          <t>Online</t>
        </is>
      </c>
      <c r="I95" t="inlineStr">
        <is>
          <t>Rohan</t>
        </is>
      </c>
      <c r="J95" t="n">
        <v>4</v>
      </c>
      <c r="K95" s="6" t="n">
        <v>75</v>
      </c>
      <c r="L95" s="7" t="n">
        <v>0.05</v>
      </c>
      <c r="M95" t="inlineStr">
        <is>
          <t>Completed</t>
        </is>
      </c>
    </row>
    <row r="96">
      <c r="A96" t="inlineStr">
        <is>
          <t>ORD0095</t>
        </is>
      </c>
      <c r="B96" s="5" t="n">
        <v>45963</v>
      </c>
      <c r="C96" t="inlineStr">
        <is>
          <t>CUST1066</t>
        </is>
      </c>
      <c r="D96" t="inlineStr">
        <is>
          <t>P1010</t>
        </is>
      </c>
      <c r="E96" t="inlineStr">
        <is>
          <t>Notebook Pack</t>
        </is>
      </c>
      <c r="F96" t="inlineStr">
        <is>
          <t>Stationery</t>
        </is>
      </c>
      <c r="G96" t="inlineStr">
        <is>
          <t>West</t>
        </is>
      </c>
      <c r="H96" t="inlineStr">
        <is>
          <t>In-store</t>
        </is>
      </c>
      <c r="I96" t="inlineStr">
        <is>
          <t>Kabir</t>
        </is>
      </c>
      <c r="J96" t="n">
        <v>4</v>
      </c>
      <c r="K96" s="6" t="n">
        <v>10</v>
      </c>
      <c r="L96" s="7" t="n">
        <v>0</v>
      </c>
      <c r="M96" t="inlineStr">
        <is>
          <t>Pending</t>
        </is>
      </c>
    </row>
    <row r="97">
      <c r="A97" t="inlineStr">
        <is>
          <t>ORD0096</t>
        </is>
      </c>
      <c r="B97" s="5" t="n">
        <v>45959</v>
      </c>
      <c r="C97" t="inlineStr">
        <is>
          <t>CUST1072</t>
        </is>
      </c>
      <c r="D97" t="inlineStr">
        <is>
          <t>P1014</t>
        </is>
      </c>
      <c r="E97" t="inlineStr">
        <is>
          <t>Backpack</t>
        </is>
      </c>
      <c r="F97" t="inlineStr">
        <is>
          <t>Accessories</t>
        </is>
      </c>
      <c r="G97" t="inlineStr">
        <is>
          <t>Central</t>
        </is>
      </c>
      <c r="H97" t="inlineStr">
        <is>
          <t>Online</t>
        </is>
      </c>
      <c r="I97" t="inlineStr">
        <is>
          <t>Diya</t>
        </is>
      </c>
      <c r="J97" t="n">
        <v>10</v>
      </c>
      <c r="K97" s="6" t="n">
        <v>49</v>
      </c>
      <c r="L97" s="7" t="n">
        <v>0.05</v>
      </c>
      <c r="M97" t="inlineStr">
        <is>
          <t>Completed</t>
        </is>
      </c>
    </row>
    <row r="98">
      <c r="A98" t="inlineStr">
        <is>
          <t>ORD0097</t>
        </is>
      </c>
      <c r="B98" s="5" t="n">
        <v>45764</v>
      </c>
      <c r="C98" t="inlineStr">
        <is>
          <t>CUST1010</t>
        </is>
      </c>
      <c r="D98" t="inlineStr">
        <is>
          <t>P1013</t>
        </is>
      </c>
      <c r="E98" t="inlineStr">
        <is>
          <t>Water Bottle</t>
        </is>
      </c>
      <c r="F98" t="inlineStr">
        <is>
          <t>Accessories</t>
        </is>
      </c>
      <c r="G98" t="inlineStr">
        <is>
          <t>South</t>
        </is>
      </c>
      <c r="H98" t="inlineStr">
        <is>
          <t>Online</t>
        </is>
      </c>
      <c r="I98" t="inlineStr">
        <is>
          <t>Diya</t>
        </is>
      </c>
      <c r="J98" t="n">
        <v>3</v>
      </c>
      <c r="K98" s="6" t="n">
        <v>18</v>
      </c>
      <c r="L98" s="7" t="n">
        <v>0.05</v>
      </c>
      <c r="M98" t="inlineStr">
        <is>
          <t>Completed</t>
        </is>
      </c>
    </row>
    <row r="99">
      <c r="A99" t="inlineStr">
        <is>
          <t>ORD0098</t>
        </is>
      </c>
      <c r="B99" s="5" t="n">
        <v>45659</v>
      </c>
      <c r="C99" t="inlineStr">
        <is>
          <t>CUST1076</t>
        </is>
      </c>
      <c r="D99" t="inlineStr">
        <is>
          <t>P1003</t>
        </is>
      </c>
      <c r="E99" t="inlineStr">
        <is>
          <t>Mechanical Keyboard</t>
        </is>
      </c>
      <c r="F99" t="inlineStr">
        <is>
          <t>Electronics</t>
        </is>
      </c>
      <c r="G99" t="inlineStr">
        <is>
          <t>West</t>
        </is>
      </c>
      <c r="H99" t="inlineStr">
        <is>
          <t>In-store</t>
        </is>
      </c>
      <c r="I99" t="inlineStr">
        <is>
          <t>Kabir</t>
        </is>
      </c>
      <c r="J99" t="n">
        <v>2</v>
      </c>
      <c r="K99" s="6" t="n">
        <v>75</v>
      </c>
      <c r="L99" s="7" t="n">
        <v>0.2</v>
      </c>
      <c r="M99" t="inlineStr">
        <is>
          <t>Completed</t>
        </is>
      </c>
    </row>
    <row r="100">
      <c r="A100" t="inlineStr">
        <is>
          <t>ORD0099</t>
        </is>
      </c>
      <c r="B100" s="5" t="n">
        <v>45802</v>
      </c>
      <c r="C100" t="inlineStr">
        <is>
          <t>CUST1009</t>
        </is>
      </c>
      <c r="D100" t="inlineStr">
        <is>
          <t>P1012</t>
        </is>
      </c>
      <c r="E100" t="inlineStr">
        <is>
          <t>Whiteboard</t>
        </is>
      </c>
      <c r="F100" t="inlineStr">
        <is>
          <t>Stationery</t>
        </is>
      </c>
      <c r="G100" t="inlineStr">
        <is>
          <t>South</t>
        </is>
      </c>
      <c r="H100" t="inlineStr">
        <is>
          <t>In-store</t>
        </is>
      </c>
      <c r="I100" t="inlineStr">
        <is>
          <t>Meera</t>
        </is>
      </c>
      <c r="J100" t="n">
        <v>3</v>
      </c>
      <c r="K100" s="6" t="n">
        <v>59</v>
      </c>
      <c r="L100" s="7" t="n">
        <v>0.1</v>
      </c>
      <c r="M100" t="inlineStr">
        <is>
          <t>Completed</t>
        </is>
      </c>
    </row>
    <row r="101">
      <c r="A101" t="inlineStr">
        <is>
          <t>ORD0100</t>
        </is>
      </c>
      <c r="B101" s="5" t="n">
        <v>45716</v>
      </c>
      <c r="C101" t="inlineStr">
        <is>
          <t>CUST1019</t>
        </is>
      </c>
      <c r="D101" t="inlineStr">
        <is>
          <t>P1007</t>
        </is>
      </c>
      <c r="E101" t="inlineStr">
        <is>
          <t>Office Chair</t>
        </is>
      </c>
      <c r="F101" t="inlineStr">
        <is>
          <t>Furniture</t>
        </is>
      </c>
      <c r="G101" t="inlineStr">
        <is>
          <t>East</t>
        </is>
      </c>
      <c r="H101" t="inlineStr">
        <is>
          <t>Online</t>
        </is>
      </c>
      <c r="I101" t="inlineStr">
        <is>
          <t>Ishaan</t>
        </is>
      </c>
      <c r="J101" t="n">
        <v>2</v>
      </c>
      <c r="K101" s="6" t="n">
        <v>179</v>
      </c>
      <c r="L101" s="7" t="n">
        <v>0.2</v>
      </c>
      <c r="M101" t="inlineStr">
        <is>
          <t>Completed</t>
        </is>
      </c>
    </row>
    <row r="102">
      <c r="A102" t="inlineStr">
        <is>
          <t>ORD0101</t>
        </is>
      </c>
      <c r="B102" s="5" t="n">
        <v>45815</v>
      </c>
      <c r="C102" t="inlineStr">
        <is>
          <t>CUST1036</t>
        </is>
      </c>
      <c r="D102" t="inlineStr">
        <is>
          <t>P1013</t>
        </is>
      </c>
      <c r="E102" t="inlineStr">
        <is>
          <t>Water Bottle</t>
        </is>
      </c>
      <c r="F102" t="inlineStr">
        <is>
          <t>Accessories</t>
        </is>
      </c>
      <c r="G102" t="inlineStr">
        <is>
          <t>West</t>
        </is>
      </c>
      <c r="H102" t="inlineStr">
        <is>
          <t>Online</t>
        </is>
      </c>
      <c r="I102" t="inlineStr">
        <is>
          <t>Kabir</t>
        </is>
      </c>
      <c r="J102" t="n">
        <v>3</v>
      </c>
      <c r="K102" s="6" t="n">
        <v>18</v>
      </c>
      <c r="L102" s="7" t="n">
        <v>0.15</v>
      </c>
      <c r="M102" t="inlineStr">
        <is>
          <t>Completed</t>
        </is>
      </c>
    </row>
    <row r="103">
      <c r="A103" t="inlineStr">
        <is>
          <t>ORD0102</t>
        </is>
      </c>
      <c r="B103" s="5" t="n">
        <v>45864</v>
      </c>
      <c r="C103" t="inlineStr">
        <is>
          <t>CUST1069</t>
        </is>
      </c>
      <c r="D103" t="inlineStr">
        <is>
          <t>P1012</t>
        </is>
      </c>
      <c r="E103" t="inlineStr">
        <is>
          <t>Whiteboard</t>
        </is>
      </c>
      <c r="F103" t="inlineStr">
        <is>
          <t>Stationery</t>
        </is>
      </c>
      <c r="G103" t="inlineStr">
        <is>
          <t>West</t>
        </is>
      </c>
      <c r="H103" t="inlineStr">
        <is>
          <t>In-store</t>
        </is>
      </c>
      <c r="I103" t="inlineStr">
        <is>
          <t>Aarav</t>
        </is>
      </c>
      <c r="J103" t="n">
        <v>8</v>
      </c>
      <c r="K103" s="6" t="n">
        <v>59</v>
      </c>
      <c r="L103" s="7" t="n">
        <v>0.15</v>
      </c>
      <c r="M103" t="inlineStr">
        <is>
          <t>Completed</t>
        </is>
      </c>
    </row>
    <row r="104">
      <c r="A104" t="inlineStr">
        <is>
          <t>ORD0103</t>
        </is>
      </c>
      <c r="B104" s="5" t="n">
        <v>45879</v>
      </c>
      <c r="C104" t="inlineStr">
        <is>
          <t>CUST1032</t>
        </is>
      </c>
      <c r="D104" t="inlineStr">
        <is>
          <t>P1015</t>
        </is>
      </c>
      <c r="E104" t="inlineStr">
        <is>
          <t>Phone Stand</t>
        </is>
      </c>
      <c r="F104" t="inlineStr">
        <is>
          <t>Accessories</t>
        </is>
      </c>
      <c r="G104" t="inlineStr">
        <is>
          <t>North</t>
        </is>
      </c>
      <c r="H104" t="inlineStr">
        <is>
          <t>Online</t>
        </is>
      </c>
      <c r="I104" t="inlineStr">
        <is>
          <t>Aarav</t>
        </is>
      </c>
      <c r="J104" t="n">
        <v>3</v>
      </c>
      <c r="K104" s="6" t="n">
        <v>16</v>
      </c>
      <c r="L104" s="7" t="n">
        <v>0.15</v>
      </c>
      <c r="M104" t="inlineStr">
        <is>
          <t>Completed</t>
        </is>
      </c>
    </row>
    <row r="105">
      <c r="A105" t="inlineStr">
        <is>
          <t>ORD0104</t>
        </is>
      </c>
      <c r="B105" s="5" t="n">
        <v>46002</v>
      </c>
      <c r="C105" t="inlineStr">
        <is>
          <t>CUST1005</t>
        </is>
      </c>
      <c r="D105" t="inlineStr">
        <is>
          <t>P1013</t>
        </is>
      </c>
      <c r="E105" t="inlineStr">
        <is>
          <t>Water Bottle</t>
        </is>
      </c>
      <c r="F105" t="inlineStr">
        <is>
          <t>Accessories</t>
        </is>
      </c>
      <c r="G105" t="inlineStr">
        <is>
          <t>South</t>
        </is>
      </c>
      <c r="H105" t="inlineStr">
        <is>
          <t>In-store</t>
        </is>
      </c>
      <c r="I105" t="inlineStr">
        <is>
          <t>Sara</t>
        </is>
      </c>
      <c r="J105" t="n">
        <v>4</v>
      </c>
      <c r="K105" s="6" t="n">
        <v>18</v>
      </c>
      <c r="L105" s="7" t="n">
        <v>0.15</v>
      </c>
      <c r="M105" t="inlineStr">
        <is>
          <t>Completed</t>
        </is>
      </c>
    </row>
    <row r="106">
      <c r="A106" t="inlineStr">
        <is>
          <t>ORD0105</t>
        </is>
      </c>
      <c r="B106" s="5" t="n">
        <v>45800</v>
      </c>
      <c r="C106" t="inlineStr">
        <is>
          <t>CUST1055</t>
        </is>
      </c>
      <c r="D106" t="inlineStr">
        <is>
          <t>P1015</t>
        </is>
      </c>
      <c r="E106" t="inlineStr">
        <is>
          <t>Phone Stand</t>
        </is>
      </c>
      <c r="F106" t="inlineStr">
        <is>
          <t>Accessories</t>
        </is>
      </c>
      <c r="G106" t="inlineStr">
        <is>
          <t>West</t>
        </is>
      </c>
      <c r="H106" t="inlineStr">
        <is>
          <t>Online</t>
        </is>
      </c>
      <c r="I106" t="inlineStr">
        <is>
          <t>Rohan</t>
        </is>
      </c>
      <c r="J106" t="n">
        <v>1</v>
      </c>
      <c r="K106" s="6" t="n">
        <v>16</v>
      </c>
      <c r="L106" s="7" t="n">
        <v>0.15</v>
      </c>
      <c r="M106" t="inlineStr">
        <is>
          <t>Completed</t>
        </is>
      </c>
    </row>
    <row r="107">
      <c r="A107" t="inlineStr">
        <is>
          <t>ORD0106</t>
        </is>
      </c>
      <c r="B107" s="5" t="n">
        <v>45822</v>
      </c>
      <c r="C107" t="inlineStr">
        <is>
          <t>CUST1042</t>
        </is>
      </c>
      <c r="D107" t="inlineStr">
        <is>
          <t>P1006</t>
        </is>
      </c>
      <c r="E107" t="inlineStr">
        <is>
          <t>Webcam HD</t>
        </is>
      </c>
      <c r="F107" t="inlineStr">
        <is>
          <t>Electronics</t>
        </is>
      </c>
      <c r="G107" t="inlineStr">
        <is>
          <t>West</t>
        </is>
      </c>
      <c r="H107" t="inlineStr">
        <is>
          <t>Marketplace</t>
        </is>
      </c>
      <c r="I107" t="inlineStr">
        <is>
          <t>Rohan</t>
        </is>
      </c>
      <c r="J107" t="n">
        <v>3</v>
      </c>
      <c r="K107" s="6" t="n">
        <v>69</v>
      </c>
      <c r="L107" s="7" t="n">
        <v>0</v>
      </c>
      <c r="M107" t="inlineStr">
        <is>
          <t>Completed</t>
        </is>
      </c>
    </row>
    <row r="108">
      <c r="A108" t="inlineStr">
        <is>
          <t>ORD0107</t>
        </is>
      </c>
      <c r="B108" s="5" t="n">
        <v>45939</v>
      </c>
      <c r="C108" t="inlineStr">
        <is>
          <t>CUST1040</t>
        </is>
      </c>
      <c r="D108" t="inlineStr">
        <is>
          <t>P1014</t>
        </is>
      </c>
      <c r="E108" t="inlineStr">
        <is>
          <t>Backpack</t>
        </is>
      </c>
      <c r="F108" t="inlineStr">
        <is>
          <t>Accessories</t>
        </is>
      </c>
      <c r="G108" t="inlineStr">
        <is>
          <t>East</t>
        </is>
      </c>
      <c r="H108" t="inlineStr">
        <is>
          <t>In-store</t>
        </is>
      </c>
      <c r="I108" t="inlineStr">
        <is>
          <t>Rohan</t>
        </is>
      </c>
      <c r="J108" t="n">
        <v>1</v>
      </c>
      <c r="K108" s="6" t="n">
        <v>49</v>
      </c>
      <c r="L108" s="7" t="n">
        <v>0</v>
      </c>
      <c r="M108" t="inlineStr">
        <is>
          <t>Completed</t>
        </is>
      </c>
    </row>
    <row r="109">
      <c r="A109" t="inlineStr">
        <is>
          <t>ORD0108</t>
        </is>
      </c>
      <c r="B109" s="5" t="n">
        <v>45921</v>
      </c>
      <c r="C109" t="inlineStr">
        <is>
          <t>CUST1069</t>
        </is>
      </c>
      <c r="D109" t="inlineStr">
        <is>
          <t>P1014</t>
        </is>
      </c>
      <c r="E109" t="inlineStr">
        <is>
          <t>Backpack</t>
        </is>
      </c>
      <c r="F109" t="inlineStr">
        <is>
          <t>Accessories</t>
        </is>
      </c>
      <c r="G109" t="inlineStr">
        <is>
          <t>West</t>
        </is>
      </c>
      <c r="H109" t="inlineStr">
        <is>
          <t>In-store</t>
        </is>
      </c>
      <c r="I109" t="inlineStr">
        <is>
          <t>Anaya</t>
        </is>
      </c>
      <c r="J109" t="n">
        <v>4</v>
      </c>
      <c r="K109" s="6" t="n">
        <v>49</v>
      </c>
      <c r="L109" s="7" t="n">
        <v>0</v>
      </c>
      <c r="M109" t="inlineStr">
        <is>
          <t>Completed</t>
        </is>
      </c>
    </row>
    <row r="110">
      <c r="A110" t="inlineStr">
        <is>
          <t>ORD0109</t>
        </is>
      </c>
      <c r="B110" s="5" t="n">
        <v>45913</v>
      </c>
      <c r="C110" t="inlineStr">
        <is>
          <t>CUST1026</t>
        </is>
      </c>
      <c r="D110" t="inlineStr">
        <is>
          <t>P1010</t>
        </is>
      </c>
      <c r="E110" t="inlineStr">
        <is>
          <t>Notebook Pack</t>
        </is>
      </c>
      <c r="F110" t="inlineStr">
        <is>
          <t>Stationery</t>
        </is>
      </c>
      <c r="G110" t="inlineStr">
        <is>
          <t>East</t>
        </is>
      </c>
      <c r="H110" t="inlineStr">
        <is>
          <t>Marketplace</t>
        </is>
      </c>
      <c r="I110" t="inlineStr">
        <is>
          <t>Kabir</t>
        </is>
      </c>
      <c r="J110" t="n">
        <v>3</v>
      </c>
      <c r="K110" s="6" t="n">
        <v>10</v>
      </c>
      <c r="L110" s="7" t="n">
        <v>0</v>
      </c>
      <c r="M110" t="inlineStr">
        <is>
          <t>Completed</t>
        </is>
      </c>
    </row>
    <row r="111">
      <c r="A111" t="inlineStr">
        <is>
          <t>ORD0110</t>
        </is>
      </c>
      <c r="B111" s="5" t="n">
        <v>46015</v>
      </c>
      <c r="C111" t="inlineStr">
        <is>
          <t>CUST1077</t>
        </is>
      </c>
      <c r="D111" t="inlineStr">
        <is>
          <t>P1008</t>
        </is>
      </c>
      <c r="E111" t="inlineStr">
        <is>
          <t>Standing Desk</t>
        </is>
      </c>
      <c r="F111" t="inlineStr">
        <is>
          <t>Furniture</t>
        </is>
      </c>
      <c r="G111" t="inlineStr">
        <is>
          <t>South</t>
        </is>
      </c>
      <c r="H111" t="inlineStr">
        <is>
          <t>Marketplace</t>
        </is>
      </c>
      <c r="I111" t="inlineStr">
        <is>
          <t>Aarav</t>
        </is>
      </c>
      <c r="J111" t="n">
        <v>2</v>
      </c>
      <c r="K111" s="6" t="n">
        <v>379</v>
      </c>
      <c r="L111" s="7" t="n">
        <v>0</v>
      </c>
      <c r="M111" t="inlineStr">
        <is>
          <t>Completed</t>
        </is>
      </c>
    </row>
    <row r="112">
      <c r="A112" t="inlineStr">
        <is>
          <t>ORD0111</t>
        </is>
      </c>
      <c r="B112" s="5" t="n">
        <v>45866</v>
      </c>
      <c r="C112" t="inlineStr">
        <is>
          <t>CUST1059</t>
        </is>
      </c>
      <c r="D112" t="inlineStr">
        <is>
          <t>P1009</t>
        </is>
      </c>
      <c r="E112" t="inlineStr">
        <is>
          <t>Desk Lamp</t>
        </is>
      </c>
      <c r="F112" t="inlineStr">
        <is>
          <t>Furniture</t>
        </is>
      </c>
      <c r="G112" t="inlineStr">
        <is>
          <t>North</t>
        </is>
      </c>
      <c r="H112" t="inlineStr">
        <is>
          <t>Marketplace</t>
        </is>
      </c>
      <c r="I112" t="inlineStr">
        <is>
          <t>Sara</t>
        </is>
      </c>
      <c r="J112" t="n">
        <v>1</v>
      </c>
      <c r="K112" s="6" t="n">
        <v>39</v>
      </c>
      <c r="L112" s="7" t="n">
        <v>0</v>
      </c>
      <c r="M112" t="inlineStr">
        <is>
          <t>Completed</t>
        </is>
      </c>
    </row>
    <row r="113">
      <c r="A113" t="inlineStr">
        <is>
          <t>ORD0112</t>
        </is>
      </c>
      <c r="B113" s="5" t="n">
        <v>45807</v>
      </c>
      <c r="C113" t="inlineStr">
        <is>
          <t>CUST1053</t>
        </is>
      </c>
      <c r="D113" t="inlineStr">
        <is>
          <t>P1015</t>
        </is>
      </c>
      <c r="E113" t="inlineStr">
        <is>
          <t>Phone Stand</t>
        </is>
      </c>
      <c r="F113" t="inlineStr">
        <is>
          <t>Accessories</t>
        </is>
      </c>
      <c r="G113" t="inlineStr">
        <is>
          <t>West</t>
        </is>
      </c>
      <c r="H113" t="inlineStr">
        <is>
          <t>In-store</t>
        </is>
      </c>
      <c r="I113" t="inlineStr">
        <is>
          <t>Ishaan</t>
        </is>
      </c>
      <c r="J113" t="n">
        <v>2</v>
      </c>
      <c r="K113" s="6" t="n">
        <v>16</v>
      </c>
      <c r="L113" s="7" t="n">
        <v>0.05</v>
      </c>
      <c r="M113" t="inlineStr">
        <is>
          <t>Completed</t>
        </is>
      </c>
    </row>
    <row r="114">
      <c r="A114" t="inlineStr">
        <is>
          <t>ORD0113</t>
        </is>
      </c>
      <c r="B114" s="5" t="n">
        <v>45755</v>
      </c>
      <c r="C114" t="inlineStr">
        <is>
          <t>CUST1017</t>
        </is>
      </c>
      <c r="D114" t="inlineStr">
        <is>
          <t>P1007</t>
        </is>
      </c>
      <c r="E114" t="inlineStr">
        <is>
          <t>Office Chair</t>
        </is>
      </c>
      <c r="F114" t="inlineStr">
        <is>
          <t>Furniture</t>
        </is>
      </c>
      <c r="G114" t="inlineStr">
        <is>
          <t>North</t>
        </is>
      </c>
      <c r="H114" t="inlineStr">
        <is>
          <t>In-store</t>
        </is>
      </c>
      <c r="I114" t="inlineStr">
        <is>
          <t>Rohan</t>
        </is>
      </c>
      <c r="J114" t="n">
        <v>5</v>
      </c>
      <c r="K114" s="6" t="n">
        <v>179</v>
      </c>
      <c r="L114" s="7" t="n">
        <v>0.15</v>
      </c>
      <c r="M114" t="inlineStr">
        <is>
          <t>Completed</t>
        </is>
      </c>
    </row>
    <row r="115">
      <c r="A115" t="inlineStr">
        <is>
          <t>ORD0114</t>
        </is>
      </c>
      <c r="B115" s="5" t="n">
        <v>45917</v>
      </c>
      <c r="C115" t="inlineStr">
        <is>
          <t>CUST1036</t>
        </is>
      </c>
      <c r="D115" t="inlineStr">
        <is>
          <t>P1006</t>
        </is>
      </c>
      <c r="E115" t="inlineStr">
        <is>
          <t>Webcam HD</t>
        </is>
      </c>
      <c r="F115" t="inlineStr">
        <is>
          <t>Electronics</t>
        </is>
      </c>
      <c r="G115" t="inlineStr">
        <is>
          <t>East</t>
        </is>
      </c>
      <c r="H115" t="inlineStr">
        <is>
          <t>Marketplace</t>
        </is>
      </c>
      <c r="I115" t="inlineStr">
        <is>
          <t>Sara</t>
        </is>
      </c>
      <c r="J115" t="n">
        <v>1</v>
      </c>
      <c r="K115" s="6" t="n">
        <v>69</v>
      </c>
      <c r="L115" s="7" t="n">
        <v>0</v>
      </c>
      <c r="M115" t="inlineStr">
        <is>
          <t>Completed</t>
        </is>
      </c>
    </row>
    <row r="116">
      <c r="A116" t="inlineStr">
        <is>
          <t>ORD0115</t>
        </is>
      </c>
      <c r="B116" s="5" t="n">
        <v>45734</v>
      </c>
      <c r="C116" t="inlineStr">
        <is>
          <t>CUST1044</t>
        </is>
      </c>
      <c r="D116" t="inlineStr">
        <is>
          <t>P1014</t>
        </is>
      </c>
      <c r="E116" t="inlineStr">
        <is>
          <t>Backpack</t>
        </is>
      </c>
      <c r="F116" t="inlineStr">
        <is>
          <t>Accessories</t>
        </is>
      </c>
      <c r="G116" t="inlineStr">
        <is>
          <t>East</t>
        </is>
      </c>
      <c r="H116" t="inlineStr">
        <is>
          <t>Marketplace</t>
        </is>
      </c>
      <c r="I116" t="inlineStr">
        <is>
          <t>Rohan</t>
        </is>
      </c>
      <c r="J116" t="n">
        <v>2</v>
      </c>
      <c r="K116" s="6" t="n">
        <v>49</v>
      </c>
      <c r="L116" s="7" t="n">
        <v>0.1</v>
      </c>
      <c r="M116" t="inlineStr">
        <is>
          <t>Completed</t>
        </is>
      </c>
    </row>
    <row r="117">
      <c r="A117" t="inlineStr">
        <is>
          <t>ORD0116</t>
        </is>
      </c>
      <c r="B117" s="5" t="n">
        <v>45822</v>
      </c>
      <c r="C117" t="inlineStr">
        <is>
          <t>CUST1030</t>
        </is>
      </c>
      <c r="D117" t="inlineStr">
        <is>
          <t>P1008</t>
        </is>
      </c>
      <c r="E117" t="inlineStr">
        <is>
          <t>Standing Desk</t>
        </is>
      </c>
      <c r="F117" t="inlineStr">
        <is>
          <t>Furniture</t>
        </is>
      </c>
      <c r="G117" t="inlineStr">
        <is>
          <t>Central</t>
        </is>
      </c>
      <c r="H117" t="inlineStr">
        <is>
          <t>In-store</t>
        </is>
      </c>
      <c r="I117" t="inlineStr">
        <is>
          <t>Rohan</t>
        </is>
      </c>
      <c r="J117" t="n">
        <v>5</v>
      </c>
      <c r="K117" s="6" t="n">
        <v>379</v>
      </c>
      <c r="L117" s="7" t="n">
        <v>0.2</v>
      </c>
      <c r="M117" t="inlineStr">
        <is>
          <t>Completed</t>
        </is>
      </c>
    </row>
    <row r="118">
      <c r="A118" t="inlineStr">
        <is>
          <t>ORD0117</t>
        </is>
      </c>
      <c r="B118" s="5" t="n">
        <v>45820</v>
      </c>
      <c r="C118" t="inlineStr">
        <is>
          <t>CUST1048</t>
        </is>
      </c>
      <c r="D118" t="inlineStr">
        <is>
          <t>P1001</t>
        </is>
      </c>
      <c r="E118" t="inlineStr">
        <is>
          <t>Laptop Pro 14</t>
        </is>
      </c>
      <c r="F118" t="inlineStr">
        <is>
          <t>Electronics</t>
        </is>
      </c>
      <c r="G118" t="inlineStr">
        <is>
          <t>West</t>
        </is>
      </c>
      <c r="H118" t="inlineStr">
        <is>
          <t>Marketplace</t>
        </is>
      </c>
      <c r="I118" t="inlineStr">
        <is>
          <t>Ishaan</t>
        </is>
      </c>
      <c r="J118" t="n">
        <v>3</v>
      </c>
      <c r="K118" s="6" t="n">
        <v>1150</v>
      </c>
      <c r="L118" s="7" t="n">
        <v>0.2</v>
      </c>
      <c r="M118" t="inlineStr">
        <is>
          <t>Completed</t>
        </is>
      </c>
    </row>
    <row r="119">
      <c r="A119" t="inlineStr">
        <is>
          <t>ORD0118</t>
        </is>
      </c>
      <c r="B119" s="5" t="n">
        <v>45676</v>
      </c>
      <c r="C119" t="inlineStr">
        <is>
          <t>CUST1042</t>
        </is>
      </c>
      <c r="D119" t="inlineStr">
        <is>
          <t>P1008</t>
        </is>
      </c>
      <c r="E119" t="inlineStr">
        <is>
          <t>Standing Desk</t>
        </is>
      </c>
      <c r="F119" t="inlineStr">
        <is>
          <t>Furniture</t>
        </is>
      </c>
      <c r="G119" t="inlineStr">
        <is>
          <t>North</t>
        </is>
      </c>
      <c r="H119" t="inlineStr">
        <is>
          <t>In-store</t>
        </is>
      </c>
      <c r="I119" t="inlineStr">
        <is>
          <t>Sara</t>
        </is>
      </c>
      <c r="J119" t="n">
        <v>1</v>
      </c>
      <c r="K119" s="6" t="n">
        <v>379</v>
      </c>
      <c r="L119" s="7" t="n">
        <v>0.15</v>
      </c>
      <c r="M119" t="inlineStr">
        <is>
          <t>Completed</t>
        </is>
      </c>
    </row>
    <row r="120">
      <c r="A120" t="inlineStr">
        <is>
          <t>ORD0119</t>
        </is>
      </c>
      <c r="B120" s="5" t="n">
        <v>45731</v>
      </c>
      <c r="C120" t="inlineStr">
        <is>
          <t>CUST1019</t>
        </is>
      </c>
      <c r="D120" t="inlineStr">
        <is>
          <t>P1001</t>
        </is>
      </c>
      <c r="E120" t="inlineStr">
        <is>
          <t>Laptop Pro 14</t>
        </is>
      </c>
      <c r="F120" t="inlineStr">
        <is>
          <t>Electronics</t>
        </is>
      </c>
      <c r="G120" t="inlineStr">
        <is>
          <t>North</t>
        </is>
      </c>
      <c r="H120" t="inlineStr">
        <is>
          <t>In-store</t>
        </is>
      </c>
      <c r="I120" t="inlineStr">
        <is>
          <t>Kabir</t>
        </is>
      </c>
      <c r="J120" t="n">
        <v>2</v>
      </c>
      <c r="K120" s="6" t="n">
        <v>1150</v>
      </c>
      <c r="L120" s="7" t="n">
        <v>0.2</v>
      </c>
      <c r="M120" t="inlineStr">
        <is>
          <t>Completed</t>
        </is>
      </c>
    </row>
    <row r="121">
      <c r="A121" t="inlineStr">
        <is>
          <t>ORD0120</t>
        </is>
      </c>
      <c r="B121" s="5" t="n">
        <v>45977</v>
      </c>
      <c r="C121" t="inlineStr">
        <is>
          <t>CUST1010</t>
        </is>
      </c>
      <c r="D121" t="inlineStr">
        <is>
          <t>P1006</t>
        </is>
      </c>
      <c r="E121" t="inlineStr">
        <is>
          <t>Webcam HD</t>
        </is>
      </c>
      <c r="F121" t="inlineStr">
        <is>
          <t>Electronics</t>
        </is>
      </c>
      <c r="G121" t="inlineStr">
        <is>
          <t>East</t>
        </is>
      </c>
      <c r="H121" t="inlineStr">
        <is>
          <t>Marketplace</t>
        </is>
      </c>
      <c r="I121" t="inlineStr">
        <is>
          <t>Rohan</t>
        </is>
      </c>
      <c r="J121" t="n">
        <v>3</v>
      </c>
      <c r="K121" s="6" t="n">
        <v>69</v>
      </c>
      <c r="L121" s="7" t="n">
        <v>0.2</v>
      </c>
      <c r="M121" t="inlineStr">
        <is>
          <t>Completed</t>
        </is>
      </c>
    </row>
    <row r="122">
      <c r="A122" t="inlineStr">
        <is>
          <t>ORD0121</t>
        </is>
      </c>
      <c r="B122" s="5" t="n">
        <v>45978</v>
      </c>
      <c r="C122" t="inlineStr">
        <is>
          <t>CUST1069</t>
        </is>
      </c>
      <c r="D122" t="inlineStr">
        <is>
          <t>P1006</t>
        </is>
      </c>
      <c r="E122" t="inlineStr">
        <is>
          <t>Webcam HD</t>
        </is>
      </c>
      <c r="F122" t="inlineStr">
        <is>
          <t>Electronics</t>
        </is>
      </c>
      <c r="G122" t="inlineStr">
        <is>
          <t>North</t>
        </is>
      </c>
      <c r="H122" t="inlineStr">
        <is>
          <t>Marketplace</t>
        </is>
      </c>
      <c r="I122" t="inlineStr">
        <is>
          <t>Kabir</t>
        </is>
      </c>
      <c r="J122" t="n">
        <v>3</v>
      </c>
      <c r="K122" s="6" t="n">
        <v>69</v>
      </c>
      <c r="L122" s="7" t="n">
        <v>0.1</v>
      </c>
      <c r="M122" t="inlineStr">
        <is>
          <t>Completed</t>
        </is>
      </c>
    </row>
    <row r="123">
      <c r="A123" t="inlineStr">
        <is>
          <t>ORD0122</t>
        </is>
      </c>
      <c r="B123" s="5" t="n">
        <v>45704</v>
      </c>
      <c r="C123" t="inlineStr">
        <is>
          <t>CUST1012</t>
        </is>
      </c>
      <c r="D123" t="inlineStr">
        <is>
          <t>P1004</t>
        </is>
      </c>
      <c r="E123" t="inlineStr">
        <is>
          <t>USB-C Hub</t>
        </is>
      </c>
      <c r="F123" t="inlineStr">
        <is>
          <t>Electronics</t>
        </is>
      </c>
      <c r="G123" t="inlineStr">
        <is>
          <t>West</t>
        </is>
      </c>
      <c r="H123" t="inlineStr">
        <is>
          <t>Online</t>
        </is>
      </c>
      <c r="I123" t="inlineStr">
        <is>
          <t>Aarav</t>
        </is>
      </c>
      <c r="J123" t="n">
        <v>2</v>
      </c>
      <c r="K123" s="6" t="n">
        <v>49</v>
      </c>
      <c r="L123" s="7" t="n">
        <v>0</v>
      </c>
      <c r="M123" t="inlineStr">
        <is>
          <t>Completed</t>
        </is>
      </c>
    </row>
    <row r="124">
      <c r="A124" t="inlineStr">
        <is>
          <t>ORD0123</t>
        </is>
      </c>
      <c r="B124" s="5" t="n">
        <v>45824</v>
      </c>
      <c r="C124" t="inlineStr">
        <is>
          <t>CUST1045</t>
        </is>
      </c>
      <c r="D124" t="inlineStr">
        <is>
          <t>P1001</t>
        </is>
      </c>
      <c r="E124" t="inlineStr">
        <is>
          <t>Laptop Pro 14</t>
        </is>
      </c>
      <c r="F124" t="inlineStr">
        <is>
          <t>Electronics</t>
        </is>
      </c>
      <c r="G124" t="inlineStr">
        <is>
          <t>East</t>
        </is>
      </c>
      <c r="H124" t="inlineStr">
        <is>
          <t>In-store</t>
        </is>
      </c>
      <c r="I124" t="inlineStr">
        <is>
          <t>Rohan</t>
        </is>
      </c>
      <c r="J124" t="n">
        <v>4</v>
      </c>
      <c r="K124" s="6" t="n">
        <v>1150</v>
      </c>
      <c r="L124" s="7" t="n">
        <v>0.05</v>
      </c>
      <c r="M124" t="inlineStr">
        <is>
          <t>Completed</t>
        </is>
      </c>
    </row>
    <row r="125">
      <c r="A125" t="inlineStr">
        <is>
          <t>ORD0124</t>
        </is>
      </c>
      <c r="B125" s="5" t="n">
        <v>46007</v>
      </c>
      <c r="C125" t="inlineStr">
        <is>
          <t>CUST1022</t>
        </is>
      </c>
      <c r="D125" t="inlineStr">
        <is>
          <t>P1010</t>
        </is>
      </c>
      <c r="E125" t="inlineStr">
        <is>
          <t>Notebook Pack</t>
        </is>
      </c>
      <c r="F125" t="inlineStr">
        <is>
          <t>Stationery</t>
        </is>
      </c>
      <c r="G125" t="inlineStr">
        <is>
          <t>North</t>
        </is>
      </c>
      <c r="H125" t="inlineStr">
        <is>
          <t>Marketplace</t>
        </is>
      </c>
      <c r="I125" t="inlineStr">
        <is>
          <t>Meera</t>
        </is>
      </c>
      <c r="J125" t="n">
        <v>4</v>
      </c>
      <c r="K125" s="6" t="n">
        <v>10</v>
      </c>
      <c r="L125" s="7" t="n">
        <v>0</v>
      </c>
      <c r="M125" t="inlineStr">
        <is>
          <t>Completed</t>
        </is>
      </c>
    </row>
    <row r="126">
      <c r="A126" t="inlineStr">
        <is>
          <t>ORD0125</t>
        </is>
      </c>
      <c r="B126" s="5" t="n">
        <v>45956</v>
      </c>
      <c r="C126" t="inlineStr">
        <is>
          <t>CUST1032</t>
        </is>
      </c>
      <c r="D126" t="inlineStr">
        <is>
          <t>P1008</t>
        </is>
      </c>
      <c r="E126" t="inlineStr">
        <is>
          <t>Standing Desk</t>
        </is>
      </c>
      <c r="F126" t="inlineStr">
        <is>
          <t>Furniture</t>
        </is>
      </c>
      <c r="G126" t="inlineStr">
        <is>
          <t>West</t>
        </is>
      </c>
      <c r="H126" t="inlineStr">
        <is>
          <t>In-store</t>
        </is>
      </c>
      <c r="I126" t="inlineStr">
        <is>
          <t>Sara</t>
        </is>
      </c>
      <c r="J126" t="n">
        <v>1</v>
      </c>
      <c r="K126" s="6" t="n">
        <v>379</v>
      </c>
      <c r="L126" s="7" t="n">
        <v>0.1</v>
      </c>
      <c r="M126" t="inlineStr">
        <is>
          <t>Completed</t>
        </is>
      </c>
    </row>
    <row r="127">
      <c r="A127" t="inlineStr">
        <is>
          <t>ORD0126</t>
        </is>
      </c>
      <c r="B127" s="5" t="n">
        <v>45805</v>
      </c>
      <c r="C127" t="inlineStr">
        <is>
          <t>CUST1009</t>
        </is>
      </c>
      <c r="D127" t="inlineStr">
        <is>
          <t>P1015</t>
        </is>
      </c>
      <c r="E127" t="inlineStr">
        <is>
          <t>Phone Stand</t>
        </is>
      </c>
      <c r="F127" t="inlineStr">
        <is>
          <t>Accessories</t>
        </is>
      </c>
      <c r="G127" t="inlineStr">
        <is>
          <t>West</t>
        </is>
      </c>
      <c r="H127" t="inlineStr">
        <is>
          <t>In-store</t>
        </is>
      </c>
      <c r="I127" t="inlineStr">
        <is>
          <t>Kabir</t>
        </is>
      </c>
      <c r="J127" t="n">
        <v>3</v>
      </c>
      <c r="K127" s="6" t="n">
        <v>16</v>
      </c>
      <c r="L127" s="7" t="n">
        <v>0</v>
      </c>
      <c r="M127" t="inlineStr">
        <is>
          <t>Returned</t>
        </is>
      </c>
    </row>
    <row r="128">
      <c r="A128" t="inlineStr">
        <is>
          <t>ORD0127</t>
        </is>
      </c>
      <c r="B128" s="5" t="n">
        <v>45875</v>
      </c>
      <c r="C128" t="inlineStr">
        <is>
          <t>CUST1038</t>
        </is>
      </c>
      <c r="D128" t="inlineStr">
        <is>
          <t>P1011</t>
        </is>
      </c>
      <c r="E128" t="inlineStr">
        <is>
          <t>Pen Set</t>
        </is>
      </c>
      <c r="F128" t="inlineStr">
        <is>
          <t>Stationery</t>
        </is>
      </c>
      <c r="G128" t="inlineStr">
        <is>
          <t>South</t>
        </is>
      </c>
      <c r="H128" t="inlineStr">
        <is>
          <t>In-store</t>
        </is>
      </c>
      <c r="I128" t="inlineStr">
        <is>
          <t>Diya</t>
        </is>
      </c>
      <c r="J128" t="n">
        <v>3</v>
      </c>
      <c r="K128" s="6" t="n">
        <v>8</v>
      </c>
      <c r="L128" s="7" t="n">
        <v>0.1</v>
      </c>
      <c r="M128" t="inlineStr">
        <is>
          <t>Completed</t>
        </is>
      </c>
    </row>
    <row r="129">
      <c r="A129" t="inlineStr">
        <is>
          <t>ORD0128</t>
        </is>
      </c>
      <c r="B129" s="5" t="n">
        <v>45853</v>
      </c>
      <c r="C129" t="inlineStr">
        <is>
          <t>CUST1037</t>
        </is>
      </c>
      <c r="D129" t="inlineStr">
        <is>
          <t>P1004</t>
        </is>
      </c>
      <c r="E129" t="inlineStr">
        <is>
          <t>USB-C Hub</t>
        </is>
      </c>
      <c r="F129" t="inlineStr">
        <is>
          <t>Electronics</t>
        </is>
      </c>
      <c r="G129" t="inlineStr">
        <is>
          <t>East</t>
        </is>
      </c>
      <c r="H129" t="inlineStr">
        <is>
          <t>Online</t>
        </is>
      </c>
      <c r="I129" t="inlineStr">
        <is>
          <t>Rohan</t>
        </is>
      </c>
      <c r="J129" t="n">
        <v>2</v>
      </c>
      <c r="K129" s="6" t="n">
        <v>49</v>
      </c>
      <c r="L129" s="7" t="n">
        <v>0.15</v>
      </c>
      <c r="M129" t="inlineStr">
        <is>
          <t>Returned</t>
        </is>
      </c>
    </row>
    <row r="130">
      <c r="A130" t="inlineStr">
        <is>
          <t>ORD0129</t>
        </is>
      </c>
      <c r="B130" s="5" t="n">
        <v>45662</v>
      </c>
      <c r="C130" t="inlineStr">
        <is>
          <t>CUST1006</t>
        </is>
      </c>
      <c r="D130" t="inlineStr">
        <is>
          <t>P1005</t>
        </is>
      </c>
      <c r="E130" t="inlineStr">
        <is>
          <t>Monitor 27 inch</t>
        </is>
      </c>
      <c r="F130" t="inlineStr">
        <is>
          <t>Electronics</t>
        </is>
      </c>
      <c r="G130" t="inlineStr">
        <is>
          <t>Central</t>
        </is>
      </c>
      <c r="H130" t="inlineStr">
        <is>
          <t>Marketplace</t>
        </is>
      </c>
      <c r="I130" t="inlineStr">
        <is>
          <t>Kabir</t>
        </is>
      </c>
      <c r="J130" t="n">
        <v>2</v>
      </c>
      <c r="K130" s="6" t="n">
        <v>299</v>
      </c>
      <c r="L130" s="7" t="n">
        <v>0.2</v>
      </c>
      <c r="M130" t="inlineStr">
        <is>
          <t>Completed</t>
        </is>
      </c>
    </row>
    <row r="131">
      <c r="A131" t="inlineStr">
        <is>
          <t>ORD0130</t>
        </is>
      </c>
      <c r="B131" s="5" t="n">
        <v>45775</v>
      </c>
      <c r="C131" t="inlineStr">
        <is>
          <t>CUST1028</t>
        </is>
      </c>
      <c r="D131" t="inlineStr">
        <is>
          <t>P1013</t>
        </is>
      </c>
      <c r="E131" t="inlineStr">
        <is>
          <t>Water Bottle</t>
        </is>
      </c>
      <c r="F131" t="inlineStr">
        <is>
          <t>Accessories</t>
        </is>
      </c>
      <c r="G131" t="inlineStr">
        <is>
          <t>South</t>
        </is>
      </c>
      <c r="H131" t="inlineStr">
        <is>
          <t>Marketplace</t>
        </is>
      </c>
      <c r="I131" t="inlineStr">
        <is>
          <t>Ishaan</t>
        </is>
      </c>
      <c r="J131" t="n">
        <v>3</v>
      </c>
      <c r="K131" s="6" t="n">
        <v>18</v>
      </c>
      <c r="L131" s="7" t="n">
        <v>0.05</v>
      </c>
      <c r="M131" t="inlineStr">
        <is>
          <t>Completed</t>
        </is>
      </c>
    </row>
    <row r="132">
      <c r="A132" t="inlineStr">
        <is>
          <t>ORD0131</t>
        </is>
      </c>
      <c r="B132" s="5" t="n">
        <v>45707</v>
      </c>
      <c r="C132" t="inlineStr">
        <is>
          <t>CUST1005</t>
        </is>
      </c>
      <c r="D132" t="inlineStr">
        <is>
          <t>P1011</t>
        </is>
      </c>
      <c r="E132" t="inlineStr">
        <is>
          <t>Pen Set</t>
        </is>
      </c>
      <c r="F132" t="inlineStr">
        <is>
          <t>Stationery</t>
        </is>
      </c>
      <c r="G132" t="inlineStr">
        <is>
          <t>East</t>
        </is>
      </c>
      <c r="H132" t="inlineStr">
        <is>
          <t>In-store</t>
        </is>
      </c>
      <c r="I132" t="inlineStr">
        <is>
          <t>Anaya</t>
        </is>
      </c>
      <c r="J132" t="n">
        <v>5</v>
      </c>
      <c r="K132" s="6" t="n">
        <v>8</v>
      </c>
      <c r="L132" s="7" t="n">
        <v>0.2</v>
      </c>
      <c r="M132" t="inlineStr">
        <is>
          <t>Completed</t>
        </is>
      </c>
    </row>
    <row r="133">
      <c r="A133" t="inlineStr">
        <is>
          <t>ORD0132</t>
        </is>
      </c>
      <c r="B133" s="5" t="n">
        <v>45725</v>
      </c>
      <c r="C133" t="inlineStr">
        <is>
          <t>CUST1041</t>
        </is>
      </c>
      <c r="D133" t="inlineStr">
        <is>
          <t>P1012</t>
        </is>
      </c>
      <c r="E133" t="inlineStr">
        <is>
          <t>Whiteboard</t>
        </is>
      </c>
      <c r="F133" t="inlineStr">
        <is>
          <t>Stationery</t>
        </is>
      </c>
      <c r="G133" t="inlineStr">
        <is>
          <t>West</t>
        </is>
      </c>
      <c r="H133" t="inlineStr">
        <is>
          <t>Online</t>
        </is>
      </c>
      <c r="I133" t="inlineStr">
        <is>
          <t>Anaya</t>
        </is>
      </c>
      <c r="J133" t="n">
        <v>1</v>
      </c>
      <c r="K133" s="6" t="n">
        <v>59</v>
      </c>
      <c r="L133" s="7" t="n">
        <v>0.05</v>
      </c>
      <c r="M133" t="inlineStr">
        <is>
          <t>Completed</t>
        </is>
      </c>
    </row>
    <row r="134">
      <c r="A134" t="inlineStr">
        <is>
          <t>ORD0133</t>
        </is>
      </c>
      <c r="B134" s="5" t="n">
        <v>45914</v>
      </c>
      <c r="C134" t="inlineStr">
        <is>
          <t>CUST1032</t>
        </is>
      </c>
      <c r="D134" t="inlineStr">
        <is>
          <t>P1009</t>
        </is>
      </c>
      <c r="E134" t="inlineStr">
        <is>
          <t>Desk Lamp</t>
        </is>
      </c>
      <c r="F134" t="inlineStr">
        <is>
          <t>Furniture</t>
        </is>
      </c>
      <c r="G134" t="inlineStr">
        <is>
          <t>West</t>
        </is>
      </c>
      <c r="H134" t="inlineStr">
        <is>
          <t>In-store</t>
        </is>
      </c>
      <c r="I134" t="inlineStr">
        <is>
          <t>Anaya</t>
        </is>
      </c>
      <c r="J134" t="n">
        <v>5</v>
      </c>
      <c r="K134" s="6" t="n">
        <v>39</v>
      </c>
      <c r="L134" s="7" t="n">
        <v>0</v>
      </c>
      <c r="M134" t="inlineStr">
        <is>
          <t>Completed</t>
        </is>
      </c>
    </row>
    <row r="135">
      <c r="A135" t="inlineStr">
        <is>
          <t>ORD0134</t>
        </is>
      </c>
      <c r="B135" s="5" t="n">
        <v>45716</v>
      </c>
      <c r="C135" t="inlineStr">
        <is>
          <t>CUST1018</t>
        </is>
      </c>
      <c r="D135" t="inlineStr">
        <is>
          <t>P1013</t>
        </is>
      </c>
      <c r="E135" t="inlineStr">
        <is>
          <t>Water Bottle</t>
        </is>
      </c>
      <c r="F135" t="inlineStr">
        <is>
          <t>Accessories</t>
        </is>
      </c>
      <c r="G135" t="inlineStr">
        <is>
          <t>South</t>
        </is>
      </c>
      <c r="H135" t="inlineStr">
        <is>
          <t>Marketplace</t>
        </is>
      </c>
      <c r="I135" t="inlineStr">
        <is>
          <t>Rohan</t>
        </is>
      </c>
      <c r="J135" t="n">
        <v>2</v>
      </c>
      <c r="K135" s="6" t="n">
        <v>18</v>
      </c>
      <c r="L135" s="7" t="n">
        <v>0</v>
      </c>
      <c r="M135" t="inlineStr">
        <is>
          <t>Completed</t>
        </is>
      </c>
    </row>
    <row r="136">
      <c r="A136" t="inlineStr">
        <is>
          <t>ORD0135</t>
        </is>
      </c>
      <c r="B136" s="5" t="n">
        <v>45943</v>
      </c>
      <c r="C136" t="inlineStr">
        <is>
          <t>CUST1001</t>
        </is>
      </c>
      <c r="D136" t="inlineStr">
        <is>
          <t>P1014</t>
        </is>
      </c>
      <c r="E136" t="inlineStr">
        <is>
          <t>Backpack</t>
        </is>
      </c>
      <c r="F136" t="inlineStr">
        <is>
          <t>Accessories</t>
        </is>
      </c>
      <c r="G136" t="inlineStr">
        <is>
          <t>East</t>
        </is>
      </c>
      <c r="H136" t="inlineStr">
        <is>
          <t>Marketplace</t>
        </is>
      </c>
      <c r="I136" t="inlineStr">
        <is>
          <t>Anaya</t>
        </is>
      </c>
      <c r="J136" t="n">
        <v>2</v>
      </c>
      <c r="K136" s="6" t="n">
        <v>49</v>
      </c>
      <c r="L136" s="7" t="n">
        <v>0.1</v>
      </c>
      <c r="M136" t="inlineStr">
        <is>
          <t>Completed</t>
        </is>
      </c>
    </row>
    <row r="137">
      <c r="A137" t="inlineStr">
        <is>
          <t>ORD0136</t>
        </is>
      </c>
      <c r="B137" s="5" t="n">
        <v>46002</v>
      </c>
      <c r="C137" t="inlineStr">
        <is>
          <t>CUST1047</t>
        </is>
      </c>
      <c r="D137" t="inlineStr">
        <is>
          <t>P1011</t>
        </is>
      </c>
      <c r="E137" t="inlineStr">
        <is>
          <t>Pen Set</t>
        </is>
      </c>
      <c r="F137" t="inlineStr">
        <is>
          <t>Stationery</t>
        </is>
      </c>
      <c r="G137" t="inlineStr">
        <is>
          <t>North</t>
        </is>
      </c>
      <c r="H137" t="inlineStr">
        <is>
          <t>Marketplace</t>
        </is>
      </c>
      <c r="I137" t="inlineStr">
        <is>
          <t>Aarav</t>
        </is>
      </c>
      <c r="J137" t="n">
        <v>1</v>
      </c>
      <c r="K137" s="6" t="n">
        <v>8</v>
      </c>
      <c r="L137" s="7" t="n">
        <v>0.1</v>
      </c>
      <c r="M137" t="inlineStr">
        <is>
          <t>Completed</t>
        </is>
      </c>
    </row>
    <row r="138">
      <c r="A138" t="inlineStr">
        <is>
          <t>ORD0137</t>
        </is>
      </c>
      <c r="B138" s="5" t="n">
        <v>45945</v>
      </c>
      <c r="C138" t="inlineStr">
        <is>
          <t>CUST1028</t>
        </is>
      </c>
      <c r="D138" t="inlineStr">
        <is>
          <t>P1010</t>
        </is>
      </c>
      <c r="E138" t="inlineStr">
        <is>
          <t>Notebook Pack</t>
        </is>
      </c>
      <c r="F138" t="inlineStr">
        <is>
          <t>Stationery</t>
        </is>
      </c>
      <c r="G138" t="inlineStr">
        <is>
          <t>North</t>
        </is>
      </c>
      <c r="H138" t="inlineStr">
        <is>
          <t>Marketplace</t>
        </is>
      </c>
      <c r="I138" t="inlineStr">
        <is>
          <t>Kabir</t>
        </is>
      </c>
      <c r="J138" t="n">
        <v>2</v>
      </c>
      <c r="K138" s="6" t="n">
        <v>10</v>
      </c>
      <c r="L138" s="7" t="n">
        <v>0.15</v>
      </c>
      <c r="M138" t="inlineStr">
        <is>
          <t>Completed</t>
        </is>
      </c>
    </row>
    <row r="139">
      <c r="A139" t="inlineStr">
        <is>
          <t>ORD0138</t>
        </is>
      </c>
      <c r="B139" s="5" t="n">
        <v>45867</v>
      </c>
      <c r="C139" t="inlineStr">
        <is>
          <t>CUST1004</t>
        </is>
      </c>
      <c r="D139" t="inlineStr">
        <is>
          <t>P1011</t>
        </is>
      </c>
      <c r="E139" t="inlineStr">
        <is>
          <t>Pen Set</t>
        </is>
      </c>
      <c r="F139" t="inlineStr">
        <is>
          <t>Stationery</t>
        </is>
      </c>
      <c r="G139" t="inlineStr">
        <is>
          <t>East</t>
        </is>
      </c>
      <c r="H139" t="inlineStr">
        <is>
          <t>In-store</t>
        </is>
      </c>
      <c r="I139" t="inlineStr">
        <is>
          <t>Meera</t>
        </is>
      </c>
      <c r="J139" t="n">
        <v>1</v>
      </c>
      <c r="K139" s="6" t="n">
        <v>8</v>
      </c>
      <c r="L139" s="7" t="n">
        <v>0</v>
      </c>
      <c r="M139" t="inlineStr">
        <is>
          <t>Completed</t>
        </is>
      </c>
    </row>
    <row r="140">
      <c r="A140" t="inlineStr">
        <is>
          <t>ORD0139</t>
        </is>
      </c>
      <c r="B140" s="5" t="n">
        <v>45933</v>
      </c>
      <c r="C140" t="inlineStr">
        <is>
          <t>CUST1047</t>
        </is>
      </c>
      <c r="D140" t="inlineStr">
        <is>
          <t>P1015</t>
        </is>
      </c>
      <c r="E140" t="inlineStr">
        <is>
          <t>Phone Stand</t>
        </is>
      </c>
      <c r="F140" t="inlineStr">
        <is>
          <t>Accessories</t>
        </is>
      </c>
      <c r="G140" t="inlineStr">
        <is>
          <t>Central</t>
        </is>
      </c>
      <c r="H140" t="inlineStr">
        <is>
          <t>In-store</t>
        </is>
      </c>
      <c r="I140" t="inlineStr">
        <is>
          <t>Ishaan</t>
        </is>
      </c>
      <c r="J140" t="n">
        <v>1</v>
      </c>
      <c r="K140" s="6" t="n">
        <v>16</v>
      </c>
      <c r="L140" s="7" t="n">
        <v>0.1</v>
      </c>
      <c r="M140" t="inlineStr">
        <is>
          <t>Completed</t>
        </is>
      </c>
    </row>
    <row r="141">
      <c r="A141" t="inlineStr">
        <is>
          <t>ORD0140</t>
        </is>
      </c>
      <c r="B141" s="5" t="n">
        <v>45870</v>
      </c>
      <c r="C141" t="inlineStr">
        <is>
          <t>CUST1078</t>
        </is>
      </c>
      <c r="D141" t="inlineStr">
        <is>
          <t>P1015</t>
        </is>
      </c>
      <c r="E141" t="inlineStr">
        <is>
          <t>Phone Stand</t>
        </is>
      </c>
      <c r="F141" t="inlineStr">
        <is>
          <t>Accessories</t>
        </is>
      </c>
      <c r="G141" t="inlineStr">
        <is>
          <t>West</t>
        </is>
      </c>
      <c r="H141" t="inlineStr">
        <is>
          <t>In-store</t>
        </is>
      </c>
      <c r="I141" t="inlineStr">
        <is>
          <t>Anaya</t>
        </is>
      </c>
      <c r="J141" t="n">
        <v>3</v>
      </c>
      <c r="K141" s="6" t="n">
        <v>16</v>
      </c>
      <c r="L141" s="7" t="n">
        <v>0.1</v>
      </c>
      <c r="M141" t="inlineStr">
        <is>
          <t>Completed</t>
        </is>
      </c>
    </row>
    <row r="142">
      <c r="A142" t="inlineStr">
        <is>
          <t>ORD0141</t>
        </is>
      </c>
      <c r="B142" s="5" t="n">
        <v>45885</v>
      </c>
      <c r="C142" t="inlineStr">
        <is>
          <t>CUST1046</t>
        </is>
      </c>
      <c r="D142" t="inlineStr">
        <is>
          <t>P1004</t>
        </is>
      </c>
      <c r="E142" t="inlineStr">
        <is>
          <t>USB-C Hub</t>
        </is>
      </c>
      <c r="F142" t="inlineStr">
        <is>
          <t>Electronics</t>
        </is>
      </c>
      <c r="G142" t="inlineStr">
        <is>
          <t>North</t>
        </is>
      </c>
      <c r="H142" t="inlineStr">
        <is>
          <t>Marketplace</t>
        </is>
      </c>
      <c r="I142" t="inlineStr">
        <is>
          <t>Anaya</t>
        </is>
      </c>
      <c r="J142" t="n">
        <v>2</v>
      </c>
      <c r="K142" s="6" t="n">
        <v>49</v>
      </c>
      <c r="L142" s="7" t="n">
        <v>0</v>
      </c>
      <c r="M142" t="inlineStr">
        <is>
          <t>Completed</t>
        </is>
      </c>
    </row>
    <row r="143">
      <c r="A143" t="inlineStr">
        <is>
          <t>ORD0142</t>
        </is>
      </c>
      <c r="B143" s="5" t="n">
        <v>45861</v>
      </c>
      <c r="C143" t="inlineStr">
        <is>
          <t>CUST1058</t>
        </is>
      </c>
      <c r="D143" t="inlineStr">
        <is>
          <t>P1001</t>
        </is>
      </c>
      <c r="E143" t="inlineStr">
        <is>
          <t>Laptop Pro 14</t>
        </is>
      </c>
      <c r="F143" t="inlineStr">
        <is>
          <t>Electronics</t>
        </is>
      </c>
      <c r="G143" t="inlineStr">
        <is>
          <t>North</t>
        </is>
      </c>
      <c r="H143" t="inlineStr">
        <is>
          <t>Marketplace</t>
        </is>
      </c>
      <c r="I143" t="inlineStr">
        <is>
          <t>Aarav</t>
        </is>
      </c>
      <c r="J143" t="n">
        <v>1</v>
      </c>
      <c r="K143" s="6" t="n">
        <v>1150</v>
      </c>
      <c r="L143" s="7" t="n">
        <v>0</v>
      </c>
      <c r="M143" t="inlineStr">
        <is>
          <t>Completed</t>
        </is>
      </c>
    </row>
    <row r="144">
      <c r="A144" t="inlineStr">
        <is>
          <t>ORD0143</t>
        </is>
      </c>
      <c r="B144" s="5" t="n">
        <v>45828</v>
      </c>
      <c r="C144" t="inlineStr">
        <is>
          <t>CUST1072</t>
        </is>
      </c>
      <c r="D144" t="inlineStr">
        <is>
          <t>P1001</t>
        </is>
      </c>
      <c r="E144" t="inlineStr">
        <is>
          <t>Laptop Pro 14</t>
        </is>
      </c>
      <c r="F144" t="inlineStr">
        <is>
          <t>Electronics</t>
        </is>
      </c>
      <c r="G144" t="inlineStr">
        <is>
          <t>South</t>
        </is>
      </c>
      <c r="H144" t="inlineStr">
        <is>
          <t>Online</t>
        </is>
      </c>
      <c r="I144" t="inlineStr">
        <is>
          <t>Meera</t>
        </is>
      </c>
      <c r="J144" t="n">
        <v>1</v>
      </c>
      <c r="K144" s="6" t="n">
        <v>1150</v>
      </c>
      <c r="L144" s="7" t="n">
        <v>0</v>
      </c>
      <c r="M144" t="inlineStr">
        <is>
          <t>Completed</t>
        </is>
      </c>
    </row>
    <row r="145">
      <c r="A145" t="inlineStr">
        <is>
          <t>ORD0144</t>
        </is>
      </c>
      <c r="B145" s="5" t="n">
        <v>45768</v>
      </c>
      <c r="C145" t="inlineStr">
        <is>
          <t>CUST1042</t>
        </is>
      </c>
      <c r="D145" t="inlineStr">
        <is>
          <t>P1010</t>
        </is>
      </c>
      <c r="E145" t="inlineStr">
        <is>
          <t>Notebook Pack</t>
        </is>
      </c>
      <c r="F145" t="inlineStr">
        <is>
          <t>Stationery</t>
        </is>
      </c>
      <c r="G145" t="inlineStr">
        <is>
          <t>South</t>
        </is>
      </c>
      <c r="H145" t="inlineStr">
        <is>
          <t>Marketplace</t>
        </is>
      </c>
      <c r="I145" t="inlineStr">
        <is>
          <t>Ishaan</t>
        </is>
      </c>
      <c r="J145" t="n">
        <v>4</v>
      </c>
      <c r="K145" s="6" t="n">
        <v>10</v>
      </c>
      <c r="L145" s="7" t="n">
        <v>0</v>
      </c>
      <c r="M145" t="inlineStr">
        <is>
          <t>Completed</t>
        </is>
      </c>
    </row>
    <row r="146">
      <c r="A146" t="inlineStr">
        <is>
          <t>ORD0145</t>
        </is>
      </c>
      <c r="B146" s="5" t="n">
        <v>45934</v>
      </c>
      <c r="C146" t="inlineStr">
        <is>
          <t>CUST1014</t>
        </is>
      </c>
      <c r="D146" t="inlineStr">
        <is>
          <t>P1003</t>
        </is>
      </c>
      <c r="E146" t="inlineStr">
        <is>
          <t>Mechanical Keyboard</t>
        </is>
      </c>
      <c r="F146" t="inlineStr">
        <is>
          <t>Electronics</t>
        </is>
      </c>
      <c r="G146" t="inlineStr">
        <is>
          <t>North</t>
        </is>
      </c>
      <c r="H146" t="inlineStr">
        <is>
          <t>Online</t>
        </is>
      </c>
      <c r="I146" t="inlineStr">
        <is>
          <t>Meera</t>
        </is>
      </c>
      <c r="J146" t="n">
        <v>1</v>
      </c>
      <c r="K146" s="6" t="n">
        <v>75</v>
      </c>
      <c r="L146" s="7" t="n">
        <v>0</v>
      </c>
      <c r="M146" t="inlineStr">
        <is>
          <t>Completed</t>
        </is>
      </c>
    </row>
    <row r="147">
      <c r="A147" t="inlineStr">
        <is>
          <t>ORD0146</t>
        </is>
      </c>
      <c r="B147" s="5" t="n">
        <v>45823</v>
      </c>
      <c r="C147" t="inlineStr">
        <is>
          <t>CUST1006</t>
        </is>
      </c>
      <c r="D147" t="inlineStr">
        <is>
          <t>P1010</t>
        </is>
      </c>
      <c r="E147" t="inlineStr">
        <is>
          <t>Notebook Pack</t>
        </is>
      </c>
      <c r="F147" t="inlineStr">
        <is>
          <t>Stationery</t>
        </is>
      </c>
      <c r="G147" t="inlineStr">
        <is>
          <t>South</t>
        </is>
      </c>
      <c r="H147" t="inlineStr">
        <is>
          <t>Marketplace</t>
        </is>
      </c>
      <c r="I147" t="inlineStr">
        <is>
          <t>Diya</t>
        </is>
      </c>
      <c r="J147" t="n">
        <v>1</v>
      </c>
      <c r="K147" s="6" t="n">
        <v>10</v>
      </c>
      <c r="L147" s="7" t="n">
        <v>0.05</v>
      </c>
      <c r="M147" t="inlineStr">
        <is>
          <t>Completed</t>
        </is>
      </c>
    </row>
    <row r="148">
      <c r="A148" t="inlineStr">
        <is>
          <t>ORD0147</t>
        </is>
      </c>
      <c r="B148" s="5" t="n">
        <v>45690</v>
      </c>
      <c r="C148" t="inlineStr">
        <is>
          <t>CUST1065</t>
        </is>
      </c>
      <c r="D148" t="inlineStr">
        <is>
          <t>P1012</t>
        </is>
      </c>
      <c r="E148" t="inlineStr">
        <is>
          <t>Whiteboard</t>
        </is>
      </c>
      <c r="F148" t="inlineStr">
        <is>
          <t>Stationery</t>
        </is>
      </c>
      <c r="G148" t="inlineStr">
        <is>
          <t>Central</t>
        </is>
      </c>
      <c r="H148" t="inlineStr">
        <is>
          <t>Online</t>
        </is>
      </c>
      <c r="I148" t="inlineStr">
        <is>
          <t>Meera</t>
        </is>
      </c>
      <c r="J148" t="n">
        <v>2</v>
      </c>
      <c r="K148" s="6" t="n">
        <v>59</v>
      </c>
      <c r="L148" s="7" t="n">
        <v>0.05</v>
      </c>
      <c r="M148" t="inlineStr">
        <is>
          <t>Completed</t>
        </is>
      </c>
    </row>
    <row r="149">
      <c r="A149" t="inlineStr">
        <is>
          <t>ORD0148</t>
        </is>
      </c>
      <c r="B149" s="5" t="n">
        <v>45680</v>
      </c>
      <c r="C149" t="inlineStr">
        <is>
          <t>CUST1066</t>
        </is>
      </c>
      <c r="D149" t="inlineStr">
        <is>
          <t>P1010</t>
        </is>
      </c>
      <c r="E149" t="inlineStr">
        <is>
          <t>Notebook Pack</t>
        </is>
      </c>
      <c r="F149" t="inlineStr">
        <is>
          <t>Stationery</t>
        </is>
      </c>
      <c r="G149" t="inlineStr">
        <is>
          <t>East</t>
        </is>
      </c>
      <c r="H149" t="inlineStr">
        <is>
          <t>In-store</t>
        </is>
      </c>
      <c r="I149" t="inlineStr">
        <is>
          <t>Aarav</t>
        </is>
      </c>
      <c r="J149" t="n">
        <v>3</v>
      </c>
      <c r="K149" s="6" t="n">
        <v>10</v>
      </c>
      <c r="L149" s="7" t="n">
        <v>0.2</v>
      </c>
      <c r="M149" t="inlineStr">
        <is>
          <t>Completed</t>
        </is>
      </c>
    </row>
    <row r="150">
      <c r="A150" t="inlineStr">
        <is>
          <t>ORD0149</t>
        </is>
      </c>
      <c r="B150" s="5" t="n">
        <v>45903</v>
      </c>
      <c r="C150" t="inlineStr">
        <is>
          <t>CUST1013</t>
        </is>
      </c>
      <c r="D150" t="inlineStr">
        <is>
          <t>P1001</t>
        </is>
      </c>
      <c r="E150" t="inlineStr">
        <is>
          <t>Laptop Pro 14</t>
        </is>
      </c>
      <c r="F150" t="inlineStr">
        <is>
          <t>Electronics</t>
        </is>
      </c>
      <c r="G150" t="inlineStr">
        <is>
          <t>West</t>
        </is>
      </c>
      <c r="H150" t="inlineStr">
        <is>
          <t>Marketplace</t>
        </is>
      </c>
      <c r="I150" t="inlineStr">
        <is>
          <t>Diya</t>
        </is>
      </c>
      <c r="J150" t="n">
        <v>4</v>
      </c>
      <c r="K150" s="6" t="n">
        <v>1150</v>
      </c>
      <c r="L150" s="7" t="n">
        <v>0.1</v>
      </c>
      <c r="M150" t="inlineStr">
        <is>
          <t>Pending</t>
        </is>
      </c>
    </row>
    <row r="151">
      <c r="A151" t="inlineStr">
        <is>
          <t>ORD0150</t>
        </is>
      </c>
      <c r="B151" s="5" t="n">
        <v>45699</v>
      </c>
      <c r="C151" t="inlineStr">
        <is>
          <t>CUST1008</t>
        </is>
      </c>
      <c r="D151" t="inlineStr">
        <is>
          <t>P1015</t>
        </is>
      </c>
      <c r="E151" t="inlineStr">
        <is>
          <t>Phone Stand</t>
        </is>
      </c>
      <c r="F151" t="inlineStr">
        <is>
          <t>Accessories</t>
        </is>
      </c>
      <c r="G151" t="inlineStr">
        <is>
          <t>South</t>
        </is>
      </c>
      <c r="H151" t="inlineStr">
        <is>
          <t>In-store</t>
        </is>
      </c>
      <c r="I151" t="inlineStr">
        <is>
          <t>Anaya</t>
        </is>
      </c>
      <c r="J151" t="n">
        <v>2</v>
      </c>
      <c r="K151" s="6" t="n">
        <v>16</v>
      </c>
      <c r="L151" s="7" t="n">
        <v>0</v>
      </c>
      <c r="M151" t="inlineStr">
        <is>
          <t>Completed</t>
        </is>
      </c>
    </row>
    <row r="152">
      <c r="A152" t="inlineStr">
        <is>
          <t>ORD0151</t>
        </is>
      </c>
      <c r="B152" s="5" t="n">
        <v>45963</v>
      </c>
      <c r="C152" t="inlineStr">
        <is>
          <t>CUST1064</t>
        </is>
      </c>
      <c r="D152" t="inlineStr">
        <is>
          <t>P1007</t>
        </is>
      </c>
      <c r="E152" t="inlineStr">
        <is>
          <t>Office Chair</t>
        </is>
      </c>
      <c r="F152" t="inlineStr">
        <is>
          <t>Furniture</t>
        </is>
      </c>
      <c r="G152" t="inlineStr">
        <is>
          <t>Central</t>
        </is>
      </c>
      <c r="H152" t="inlineStr">
        <is>
          <t>In-store</t>
        </is>
      </c>
      <c r="I152" t="inlineStr">
        <is>
          <t>Diya</t>
        </is>
      </c>
      <c r="J152" t="n">
        <v>2</v>
      </c>
      <c r="K152" s="6" t="n">
        <v>179</v>
      </c>
      <c r="L152" s="7" t="n">
        <v>0.1</v>
      </c>
      <c r="M152" t="inlineStr">
        <is>
          <t>Completed</t>
        </is>
      </c>
    </row>
    <row r="153">
      <c r="A153" t="inlineStr">
        <is>
          <t>ORD0152</t>
        </is>
      </c>
      <c r="B153" s="5" t="n">
        <v>45993</v>
      </c>
      <c r="C153" t="inlineStr">
        <is>
          <t>CUST1027</t>
        </is>
      </c>
      <c r="D153" t="inlineStr">
        <is>
          <t>P1014</t>
        </is>
      </c>
      <c r="E153" t="inlineStr">
        <is>
          <t>Backpack</t>
        </is>
      </c>
      <c r="F153" t="inlineStr">
        <is>
          <t>Accessories</t>
        </is>
      </c>
      <c r="G153" t="inlineStr">
        <is>
          <t>West</t>
        </is>
      </c>
      <c r="H153" t="inlineStr">
        <is>
          <t>In-store</t>
        </is>
      </c>
      <c r="I153" t="inlineStr">
        <is>
          <t>Rohan</t>
        </is>
      </c>
      <c r="J153" t="n">
        <v>3</v>
      </c>
      <c r="K153" s="6" t="n">
        <v>49</v>
      </c>
      <c r="L153" s="7" t="n">
        <v>0.15</v>
      </c>
      <c r="M153" t="inlineStr">
        <is>
          <t>Pending</t>
        </is>
      </c>
    </row>
    <row r="154">
      <c r="A154" t="inlineStr">
        <is>
          <t>ORD0153</t>
        </is>
      </c>
      <c r="B154" s="5" t="n">
        <v>45890</v>
      </c>
      <c r="C154" t="inlineStr">
        <is>
          <t>CUST1012</t>
        </is>
      </c>
      <c r="D154" t="inlineStr">
        <is>
          <t>P1006</t>
        </is>
      </c>
      <c r="E154" t="inlineStr">
        <is>
          <t>Webcam HD</t>
        </is>
      </c>
      <c r="F154" t="inlineStr">
        <is>
          <t>Electronics</t>
        </is>
      </c>
      <c r="G154" t="inlineStr">
        <is>
          <t>East</t>
        </is>
      </c>
      <c r="H154" t="inlineStr">
        <is>
          <t>In-store</t>
        </is>
      </c>
      <c r="I154" t="inlineStr">
        <is>
          <t>Kabir</t>
        </is>
      </c>
      <c r="J154" t="n">
        <v>2</v>
      </c>
      <c r="K154" s="6" t="n">
        <v>69</v>
      </c>
      <c r="L154" s="7" t="n">
        <v>0.2</v>
      </c>
      <c r="M154" t="inlineStr">
        <is>
          <t>Completed</t>
        </is>
      </c>
    </row>
    <row r="155">
      <c r="A155" t="inlineStr">
        <is>
          <t>ORD0154</t>
        </is>
      </c>
      <c r="B155" s="5" t="n">
        <v>45736</v>
      </c>
      <c r="C155" t="inlineStr">
        <is>
          <t>CUST1008</t>
        </is>
      </c>
      <c r="D155" t="inlineStr">
        <is>
          <t>P1006</t>
        </is>
      </c>
      <c r="E155" t="inlineStr">
        <is>
          <t>Webcam HD</t>
        </is>
      </c>
      <c r="F155" t="inlineStr">
        <is>
          <t>Electronics</t>
        </is>
      </c>
      <c r="G155" t="inlineStr">
        <is>
          <t>North</t>
        </is>
      </c>
      <c r="H155" t="inlineStr">
        <is>
          <t>Online</t>
        </is>
      </c>
      <c r="I155" t="inlineStr">
        <is>
          <t>Diya</t>
        </is>
      </c>
      <c r="J155" t="n">
        <v>3</v>
      </c>
      <c r="K155" s="6" t="n">
        <v>69</v>
      </c>
      <c r="L155" s="7" t="n">
        <v>0.1</v>
      </c>
      <c r="M155" t="inlineStr">
        <is>
          <t>Completed</t>
        </is>
      </c>
    </row>
    <row r="156">
      <c r="A156" t="inlineStr">
        <is>
          <t>ORD0155</t>
        </is>
      </c>
      <c r="B156" s="5" t="n">
        <v>45848</v>
      </c>
      <c r="C156" t="inlineStr">
        <is>
          <t>CUST1007</t>
        </is>
      </c>
      <c r="D156" t="inlineStr">
        <is>
          <t>P1012</t>
        </is>
      </c>
      <c r="E156" t="inlineStr">
        <is>
          <t>Whiteboard</t>
        </is>
      </c>
      <c r="F156" t="inlineStr">
        <is>
          <t>Stationery</t>
        </is>
      </c>
      <c r="G156" t="inlineStr">
        <is>
          <t>Central</t>
        </is>
      </c>
      <c r="H156" t="inlineStr">
        <is>
          <t>Marketplace</t>
        </is>
      </c>
      <c r="I156" t="inlineStr">
        <is>
          <t>Diya</t>
        </is>
      </c>
      <c r="J156" t="n">
        <v>4</v>
      </c>
      <c r="K156" s="6" t="n">
        <v>59</v>
      </c>
      <c r="L156" s="7" t="n">
        <v>0.15</v>
      </c>
      <c r="M156" t="inlineStr">
        <is>
          <t>Completed</t>
        </is>
      </c>
    </row>
    <row r="157">
      <c r="A157" t="inlineStr">
        <is>
          <t>ORD0156</t>
        </is>
      </c>
      <c r="B157" s="5" t="n">
        <v>45839</v>
      </c>
      <c r="C157" t="inlineStr">
        <is>
          <t>CUST1006</t>
        </is>
      </c>
      <c r="D157" t="inlineStr">
        <is>
          <t>P1007</t>
        </is>
      </c>
      <c r="E157" t="inlineStr">
        <is>
          <t>Office Chair</t>
        </is>
      </c>
      <c r="F157" t="inlineStr">
        <is>
          <t>Furniture</t>
        </is>
      </c>
      <c r="G157" t="inlineStr">
        <is>
          <t>East</t>
        </is>
      </c>
      <c r="H157" t="inlineStr">
        <is>
          <t>Marketplace</t>
        </is>
      </c>
      <c r="I157" t="inlineStr">
        <is>
          <t>Diya</t>
        </is>
      </c>
      <c r="J157" t="n">
        <v>5</v>
      </c>
      <c r="K157" s="6" t="n">
        <v>179</v>
      </c>
      <c r="L157" s="7" t="n">
        <v>0.1</v>
      </c>
      <c r="M157" t="inlineStr">
        <is>
          <t>Completed</t>
        </is>
      </c>
    </row>
    <row r="158">
      <c r="A158" t="inlineStr">
        <is>
          <t>ORD0157</t>
        </is>
      </c>
      <c r="B158" s="5" t="n">
        <v>45917</v>
      </c>
      <c r="C158" t="inlineStr">
        <is>
          <t>CUST1061</t>
        </is>
      </c>
      <c r="D158" t="inlineStr">
        <is>
          <t>P1010</t>
        </is>
      </c>
      <c r="E158" t="inlineStr">
        <is>
          <t>Notebook Pack</t>
        </is>
      </c>
      <c r="F158" t="inlineStr">
        <is>
          <t>Stationery</t>
        </is>
      </c>
      <c r="G158" t="inlineStr">
        <is>
          <t>South</t>
        </is>
      </c>
      <c r="H158" t="inlineStr">
        <is>
          <t>Online</t>
        </is>
      </c>
      <c r="I158" t="inlineStr">
        <is>
          <t>Anaya</t>
        </is>
      </c>
      <c r="J158" t="n">
        <v>1</v>
      </c>
      <c r="K158" s="6" t="n">
        <v>10</v>
      </c>
      <c r="L158" s="7" t="n">
        <v>0.2</v>
      </c>
      <c r="M158" t="inlineStr">
        <is>
          <t>Completed</t>
        </is>
      </c>
    </row>
    <row r="159">
      <c r="A159" t="inlineStr">
        <is>
          <t>ORD0158</t>
        </is>
      </c>
      <c r="B159" s="5" t="n">
        <v>45800</v>
      </c>
      <c r="C159" t="inlineStr">
        <is>
          <t>CUST1071</t>
        </is>
      </c>
      <c r="D159" t="inlineStr">
        <is>
          <t>P1002</t>
        </is>
      </c>
      <c r="E159" t="inlineStr">
        <is>
          <t>Wireless Mouse</t>
        </is>
      </c>
      <c r="F159" t="inlineStr">
        <is>
          <t>Electronics</t>
        </is>
      </c>
      <c r="G159" t="inlineStr">
        <is>
          <t>Central</t>
        </is>
      </c>
      <c r="H159" t="inlineStr">
        <is>
          <t>Marketplace</t>
        </is>
      </c>
      <c r="I159" t="inlineStr">
        <is>
          <t>Aarav</t>
        </is>
      </c>
      <c r="J159" t="n">
        <v>2</v>
      </c>
      <c r="K159" s="6" t="n">
        <v>25</v>
      </c>
      <c r="L159" s="7" t="n">
        <v>0.1</v>
      </c>
      <c r="M159" t="inlineStr">
        <is>
          <t>Completed</t>
        </is>
      </c>
    </row>
    <row r="160">
      <c r="A160" t="inlineStr">
        <is>
          <t>ORD0159</t>
        </is>
      </c>
      <c r="B160" s="5" t="n">
        <v>45994</v>
      </c>
      <c r="C160" t="inlineStr">
        <is>
          <t>CUST1003</t>
        </is>
      </c>
      <c r="D160" t="inlineStr">
        <is>
          <t>P1010</t>
        </is>
      </c>
      <c r="E160" t="inlineStr">
        <is>
          <t>Notebook Pack</t>
        </is>
      </c>
      <c r="F160" t="inlineStr">
        <is>
          <t>Stationery</t>
        </is>
      </c>
      <c r="G160" t="inlineStr">
        <is>
          <t>South</t>
        </is>
      </c>
      <c r="H160" t="inlineStr">
        <is>
          <t>In-store</t>
        </is>
      </c>
      <c r="I160" t="inlineStr">
        <is>
          <t>Kabir</t>
        </is>
      </c>
      <c r="J160" t="n">
        <v>4</v>
      </c>
      <c r="K160" s="6" t="n">
        <v>10</v>
      </c>
      <c r="L160" s="7" t="n">
        <v>0.05</v>
      </c>
      <c r="M160" t="inlineStr">
        <is>
          <t>Completed</t>
        </is>
      </c>
    </row>
    <row r="161">
      <c r="A161" t="inlineStr">
        <is>
          <t>ORD0160</t>
        </is>
      </c>
      <c r="B161" s="5" t="n">
        <v>45831</v>
      </c>
      <c r="C161" t="inlineStr">
        <is>
          <t>CUST1018</t>
        </is>
      </c>
      <c r="D161" t="inlineStr">
        <is>
          <t>P1015</t>
        </is>
      </c>
      <c r="E161" t="inlineStr">
        <is>
          <t>Phone Stand</t>
        </is>
      </c>
      <c r="F161" t="inlineStr">
        <is>
          <t>Accessories</t>
        </is>
      </c>
      <c r="G161" t="inlineStr">
        <is>
          <t>Central</t>
        </is>
      </c>
      <c r="H161" t="inlineStr">
        <is>
          <t>Marketplace</t>
        </is>
      </c>
      <c r="I161" t="inlineStr">
        <is>
          <t>Ishaan</t>
        </is>
      </c>
      <c r="J161" t="n">
        <v>2</v>
      </c>
      <c r="K161" s="6" t="n">
        <v>16</v>
      </c>
      <c r="L161" s="7" t="n">
        <v>0</v>
      </c>
      <c r="M161" t="inlineStr">
        <is>
          <t>Completed</t>
        </is>
      </c>
    </row>
    <row r="162">
      <c r="A162" t="inlineStr">
        <is>
          <t>ORD0161</t>
        </is>
      </c>
      <c r="B162" s="5" t="n">
        <v>45982</v>
      </c>
      <c r="C162" t="inlineStr">
        <is>
          <t>CUST1067</t>
        </is>
      </c>
      <c r="D162" t="inlineStr">
        <is>
          <t>P1012</t>
        </is>
      </c>
      <c r="E162" t="inlineStr">
        <is>
          <t>Whiteboard</t>
        </is>
      </c>
      <c r="F162" t="inlineStr">
        <is>
          <t>Stationery</t>
        </is>
      </c>
      <c r="G162" t="inlineStr">
        <is>
          <t>South</t>
        </is>
      </c>
      <c r="H162" t="inlineStr">
        <is>
          <t>In-store</t>
        </is>
      </c>
      <c r="I162" t="inlineStr">
        <is>
          <t>Anaya</t>
        </is>
      </c>
      <c r="J162" t="n">
        <v>10</v>
      </c>
      <c r="K162" s="6" t="n">
        <v>59</v>
      </c>
      <c r="L162" s="7" t="n">
        <v>0</v>
      </c>
      <c r="M162" t="inlineStr">
        <is>
          <t>Completed</t>
        </is>
      </c>
    </row>
    <row r="163">
      <c r="A163" t="inlineStr">
        <is>
          <t>ORD0162</t>
        </is>
      </c>
      <c r="B163" s="5" t="n">
        <v>45847</v>
      </c>
      <c r="C163" t="inlineStr">
        <is>
          <t>CUST1072</t>
        </is>
      </c>
      <c r="D163" t="inlineStr">
        <is>
          <t>P1003</t>
        </is>
      </c>
      <c r="E163" t="inlineStr">
        <is>
          <t>Mechanical Keyboard</t>
        </is>
      </c>
      <c r="F163" t="inlineStr">
        <is>
          <t>Electronics</t>
        </is>
      </c>
      <c r="G163" t="inlineStr">
        <is>
          <t>Central</t>
        </is>
      </c>
      <c r="H163" t="inlineStr">
        <is>
          <t>Online</t>
        </is>
      </c>
      <c r="I163" t="inlineStr">
        <is>
          <t>Ishaan</t>
        </is>
      </c>
      <c r="J163" t="n">
        <v>1</v>
      </c>
      <c r="K163" s="6" t="n">
        <v>75</v>
      </c>
      <c r="L163" s="7" t="n">
        <v>0.05</v>
      </c>
      <c r="M163" t="inlineStr">
        <is>
          <t>Pending</t>
        </is>
      </c>
    </row>
    <row r="164">
      <c r="A164" t="inlineStr">
        <is>
          <t>ORD0163</t>
        </is>
      </c>
      <c r="B164" s="5" t="n">
        <v>45974</v>
      </c>
      <c r="C164" t="inlineStr">
        <is>
          <t>CUST1034</t>
        </is>
      </c>
      <c r="D164" t="inlineStr">
        <is>
          <t>P1003</t>
        </is>
      </c>
      <c r="E164" t="inlineStr">
        <is>
          <t>Mechanical Keyboard</t>
        </is>
      </c>
      <c r="F164" t="inlineStr">
        <is>
          <t>Electronics</t>
        </is>
      </c>
      <c r="G164" t="inlineStr">
        <is>
          <t>West</t>
        </is>
      </c>
      <c r="H164" t="inlineStr">
        <is>
          <t>Marketplace</t>
        </is>
      </c>
      <c r="I164" t="inlineStr">
        <is>
          <t>Sara</t>
        </is>
      </c>
      <c r="J164" t="n">
        <v>1</v>
      </c>
      <c r="K164" s="6" t="n">
        <v>75</v>
      </c>
      <c r="L164" s="7" t="n">
        <v>0</v>
      </c>
      <c r="M164" t="inlineStr">
        <is>
          <t>Completed</t>
        </is>
      </c>
    </row>
    <row r="165">
      <c r="A165" t="inlineStr">
        <is>
          <t>ORD0164</t>
        </is>
      </c>
      <c r="B165" s="5" t="n">
        <v>45797</v>
      </c>
      <c r="C165" t="inlineStr">
        <is>
          <t>CUST1014</t>
        </is>
      </c>
      <c r="D165" t="inlineStr">
        <is>
          <t>P1007</t>
        </is>
      </c>
      <c r="E165" t="inlineStr">
        <is>
          <t>Office Chair</t>
        </is>
      </c>
      <c r="F165" t="inlineStr">
        <is>
          <t>Furniture</t>
        </is>
      </c>
      <c r="G165" t="inlineStr">
        <is>
          <t>East</t>
        </is>
      </c>
      <c r="H165" t="inlineStr">
        <is>
          <t>In-store</t>
        </is>
      </c>
      <c r="I165" t="inlineStr">
        <is>
          <t>Sara</t>
        </is>
      </c>
      <c r="J165" t="n">
        <v>1</v>
      </c>
      <c r="K165" s="6" t="n">
        <v>179</v>
      </c>
      <c r="L165" s="7" t="n">
        <v>0.15</v>
      </c>
      <c r="M165" t="inlineStr">
        <is>
          <t>Completed</t>
        </is>
      </c>
    </row>
    <row r="166">
      <c r="A166" t="inlineStr">
        <is>
          <t>ORD0165</t>
        </is>
      </c>
      <c r="B166" s="5" t="n">
        <v>45999</v>
      </c>
      <c r="C166" t="inlineStr">
        <is>
          <t>CUST1050</t>
        </is>
      </c>
      <c r="D166" t="inlineStr">
        <is>
          <t>P1009</t>
        </is>
      </c>
      <c r="E166" t="inlineStr">
        <is>
          <t>Desk Lamp</t>
        </is>
      </c>
      <c r="F166" t="inlineStr">
        <is>
          <t>Furniture</t>
        </is>
      </c>
      <c r="G166" t="inlineStr">
        <is>
          <t>Central</t>
        </is>
      </c>
      <c r="H166" t="inlineStr">
        <is>
          <t>Online</t>
        </is>
      </c>
      <c r="I166" t="inlineStr">
        <is>
          <t>Kabir</t>
        </is>
      </c>
      <c r="J166" t="n">
        <v>1</v>
      </c>
      <c r="K166" s="6" t="n">
        <v>39</v>
      </c>
      <c r="L166" s="7" t="n">
        <v>0</v>
      </c>
      <c r="M166" t="inlineStr">
        <is>
          <t>Completed</t>
        </is>
      </c>
    </row>
    <row r="167">
      <c r="A167" t="inlineStr">
        <is>
          <t>ORD0166</t>
        </is>
      </c>
      <c r="B167" s="5" t="n">
        <v>45728</v>
      </c>
      <c r="C167" t="inlineStr">
        <is>
          <t>CUST1041</t>
        </is>
      </c>
      <c r="D167" t="inlineStr">
        <is>
          <t>P1004</t>
        </is>
      </c>
      <c r="E167" t="inlineStr">
        <is>
          <t>USB-C Hub</t>
        </is>
      </c>
      <c r="F167" t="inlineStr">
        <is>
          <t>Electronics</t>
        </is>
      </c>
      <c r="G167" t="inlineStr">
        <is>
          <t>North</t>
        </is>
      </c>
      <c r="H167" t="inlineStr">
        <is>
          <t>Online</t>
        </is>
      </c>
      <c r="I167" t="inlineStr">
        <is>
          <t>Rohan</t>
        </is>
      </c>
      <c r="J167" t="n">
        <v>4</v>
      </c>
      <c r="K167" s="6" t="n">
        <v>49</v>
      </c>
      <c r="L167" s="7" t="n">
        <v>0.05</v>
      </c>
      <c r="M167" t="inlineStr">
        <is>
          <t>Completed</t>
        </is>
      </c>
    </row>
    <row r="168">
      <c r="A168" t="inlineStr">
        <is>
          <t>ORD0167</t>
        </is>
      </c>
      <c r="B168" s="5" t="n">
        <v>45724</v>
      </c>
      <c r="C168" t="inlineStr">
        <is>
          <t>CUST1029</t>
        </is>
      </c>
      <c r="D168" t="inlineStr">
        <is>
          <t>P1003</t>
        </is>
      </c>
      <c r="E168" t="inlineStr">
        <is>
          <t>Mechanical Keyboard</t>
        </is>
      </c>
      <c r="F168" t="inlineStr">
        <is>
          <t>Electronics</t>
        </is>
      </c>
      <c r="G168" t="inlineStr">
        <is>
          <t>Central</t>
        </is>
      </c>
      <c r="H168" t="inlineStr">
        <is>
          <t>Marketplace</t>
        </is>
      </c>
      <c r="I168" t="inlineStr">
        <is>
          <t>Anaya</t>
        </is>
      </c>
      <c r="J168" t="n">
        <v>2</v>
      </c>
      <c r="K168" s="6" t="n">
        <v>75</v>
      </c>
      <c r="L168" s="7" t="n">
        <v>0.2</v>
      </c>
      <c r="M168" t="inlineStr">
        <is>
          <t>Completed</t>
        </is>
      </c>
    </row>
    <row r="169">
      <c r="A169" t="inlineStr">
        <is>
          <t>ORD0168</t>
        </is>
      </c>
      <c r="B169" s="5" t="n">
        <v>45861</v>
      </c>
      <c r="C169" t="inlineStr">
        <is>
          <t>CUST1055</t>
        </is>
      </c>
      <c r="D169" t="inlineStr">
        <is>
          <t>P1002</t>
        </is>
      </c>
      <c r="E169" t="inlineStr">
        <is>
          <t>Wireless Mouse</t>
        </is>
      </c>
      <c r="F169" t="inlineStr">
        <is>
          <t>Electronics</t>
        </is>
      </c>
      <c r="G169" t="inlineStr">
        <is>
          <t>North</t>
        </is>
      </c>
      <c r="H169" t="inlineStr">
        <is>
          <t>In-store</t>
        </is>
      </c>
      <c r="I169" t="inlineStr">
        <is>
          <t>Anaya</t>
        </is>
      </c>
      <c r="J169" t="n">
        <v>5</v>
      </c>
      <c r="K169" s="6" t="n">
        <v>25</v>
      </c>
      <c r="L169" s="7" t="n">
        <v>0</v>
      </c>
      <c r="M169" t="inlineStr">
        <is>
          <t>Pending</t>
        </is>
      </c>
    </row>
    <row r="170">
      <c r="A170" t="inlineStr">
        <is>
          <t>ORD0169</t>
        </is>
      </c>
      <c r="B170" s="5" t="n">
        <v>45877</v>
      </c>
      <c r="C170" t="inlineStr">
        <is>
          <t>CUST1053</t>
        </is>
      </c>
      <c r="D170" t="inlineStr">
        <is>
          <t>P1010</t>
        </is>
      </c>
      <c r="E170" t="inlineStr">
        <is>
          <t>Notebook Pack</t>
        </is>
      </c>
      <c r="F170" t="inlineStr">
        <is>
          <t>Stationery</t>
        </is>
      </c>
      <c r="G170" t="inlineStr">
        <is>
          <t>East</t>
        </is>
      </c>
      <c r="H170" t="inlineStr">
        <is>
          <t>Online</t>
        </is>
      </c>
      <c r="I170" t="inlineStr">
        <is>
          <t>Anaya</t>
        </is>
      </c>
      <c r="J170" t="n">
        <v>2</v>
      </c>
      <c r="K170" s="6" t="n">
        <v>10</v>
      </c>
      <c r="L170" s="7" t="n">
        <v>0.2</v>
      </c>
      <c r="M170" t="inlineStr">
        <is>
          <t>Completed</t>
        </is>
      </c>
    </row>
    <row r="171">
      <c r="A171" t="inlineStr">
        <is>
          <t>ORD0170</t>
        </is>
      </c>
      <c r="B171" s="5" t="n">
        <v>45974</v>
      </c>
      <c r="C171" t="inlineStr">
        <is>
          <t>CUST1046</t>
        </is>
      </c>
      <c r="D171" t="inlineStr">
        <is>
          <t>P1003</t>
        </is>
      </c>
      <c r="E171" t="inlineStr">
        <is>
          <t>Mechanical Keyboard</t>
        </is>
      </c>
      <c r="F171" t="inlineStr">
        <is>
          <t>Electronics</t>
        </is>
      </c>
      <c r="G171" t="inlineStr">
        <is>
          <t>North</t>
        </is>
      </c>
      <c r="H171" t="inlineStr">
        <is>
          <t>In-store</t>
        </is>
      </c>
      <c r="I171" t="inlineStr">
        <is>
          <t>Meera</t>
        </is>
      </c>
      <c r="J171" t="n">
        <v>2</v>
      </c>
      <c r="K171" s="6" t="n">
        <v>75</v>
      </c>
      <c r="L171" s="7" t="n">
        <v>0.2</v>
      </c>
      <c r="M171" t="inlineStr">
        <is>
          <t>Completed</t>
        </is>
      </c>
    </row>
    <row r="172">
      <c r="A172" t="inlineStr">
        <is>
          <t>ORD0171</t>
        </is>
      </c>
      <c r="B172" s="5" t="n">
        <v>45959</v>
      </c>
      <c r="C172" t="inlineStr">
        <is>
          <t>CUST1050</t>
        </is>
      </c>
      <c r="D172" t="inlineStr">
        <is>
          <t>P1007</t>
        </is>
      </c>
      <c r="E172" t="inlineStr">
        <is>
          <t>Office Chair</t>
        </is>
      </c>
      <c r="F172" t="inlineStr">
        <is>
          <t>Furniture</t>
        </is>
      </c>
      <c r="G172" t="inlineStr">
        <is>
          <t>East</t>
        </is>
      </c>
      <c r="H172" t="inlineStr">
        <is>
          <t>Marketplace</t>
        </is>
      </c>
      <c r="I172" t="inlineStr">
        <is>
          <t>Anaya</t>
        </is>
      </c>
      <c r="J172" t="n">
        <v>2</v>
      </c>
      <c r="K172" s="6" t="n">
        <v>179</v>
      </c>
      <c r="L172" s="7" t="n">
        <v>0</v>
      </c>
      <c r="M172" t="inlineStr">
        <is>
          <t>Completed</t>
        </is>
      </c>
    </row>
    <row r="173">
      <c r="A173" t="inlineStr">
        <is>
          <t>ORD0172</t>
        </is>
      </c>
      <c r="B173" s="5" t="n">
        <v>45744</v>
      </c>
      <c r="C173" t="inlineStr">
        <is>
          <t>CUST1014</t>
        </is>
      </c>
      <c r="D173" t="inlineStr">
        <is>
          <t>P1013</t>
        </is>
      </c>
      <c r="E173" t="inlineStr">
        <is>
          <t>Water Bottle</t>
        </is>
      </c>
      <c r="F173" t="inlineStr">
        <is>
          <t>Accessories</t>
        </is>
      </c>
      <c r="G173" t="inlineStr">
        <is>
          <t>Central</t>
        </is>
      </c>
      <c r="H173" t="inlineStr">
        <is>
          <t>Marketplace</t>
        </is>
      </c>
      <c r="I173" t="inlineStr">
        <is>
          <t>Anaya</t>
        </is>
      </c>
      <c r="J173" t="n">
        <v>1</v>
      </c>
      <c r="K173" s="6" t="n">
        <v>18</v>
      </c>
      <c r="L173" s="7" t="n">
        <v>0.2</v>
      </c>
      <c r="M173" t="inlineStr">
        <is>
          <t>Completed</t>
        </is>
      </c>
    </row>
    <row r="174">
      <c r="A174" t="inlineStr">
        <is>
          <t>ORD0173</t>
        </is>
      </c>
      <c r="B174" s="5" t="n">
        <v>45988</v>
      </c>
      <c r="C174" t="inlineStr">
        <is>
          <t>CUST1013</t>
        </is>
      </c>
      <c r="D174" t="inlineStr">
        <is>
          <t>P1006</t>
        </is>
      </c>
      <c r="E174" t="inlineStr">
        <is>
          <t>Webcam HD</t>
        </is>
      </c>
      <c r="F174" t="inlineStr">
        <is>
          <t>Electronics</t>
        </is>
      </c>
      <c r="G174" t="inlineStr">
        <is>
          <t>South</t>
        </is>
      </c>
      <c r="H174" t="inlineStr">
        <is>
          <t>In-store</t>
        </is>
      </c>
      <c r="I174" t="inlineStr">
        <is>
          <t>Ishaan</t>
        </is>
      </c>
      <c r="J174" t="n">
        <v>4</v>
      </c>
      <c r="K174" s="6" t="n">
        <v>69</v>
      </c>
      <c r="L174" s="7" t="n">
        <v>0</v>
      </c>
      <c r="M174" t="inlineStr">
        <is>
          <t>Completed</t>
        </is>
      </c>
    </row>
    <row r="175">
      <c r="A175" t="inlineStr">
        <is>
          <t>ORD0174</t>
        </is>
      </c>
      <c r="B175" s="5" t="n">
        <v>45993</v>
      </c>
      <c r="C175" t="inlineStr">
        <is>
          <t>CUST1063</t>
        </is>
      </c>
      <c r="D175" t="inlineStr">
        <is>
          <t>P1013</t>
        </is>
      </c>
      <c r="E175" t="inlineStr">
        <is>
          <t>Water Bottle</t>
        </is>
      </c>
      <c r="F175" t="inlineStr">
        <is>
          <t>Accessories</t>
        </is>
      </c>
      <c r="G175" t="inlineStr">
        <is>
          <t>West</t>
        </is>
      </c>
      <c r="H175" t="inlineStr">
        <is>
          <t>Marketplace</t>
        </is>
      </c>
      <c r="I175" t="inlineStr">
        <is>
          <t>Sara</t>
        </is>
      </c>
      <c r="J175" t="n">
        <v>1</v>
      </c>
      <c r="K175" s="6" t="n">
        <v>18</v>
      </c>
      <c r="L175" s="7" t="n">
        <v>0.2</v>
      </c>
      <c r="M175" t="inlineStr">
        <is>
          <t>Completed</t>
        </is>
      </c>
    </row>
    <row r="176">
      <c r="A176" t="inlineStr">
        <is>
          <t>ORD0175</t>
        </is>
      </c>
      <c r="B176" s="5" t="n">
        <v>45947</v>
      </c>
      <c r="C176" t="inlineStr">
        <is>
          <t>CUST1041</t>
        </is>
      </c>
      <c r="D176" t="inlineStr">
        <is>
          <t>P1011</t>
        </is>
      </c>
      <c r="E176" t="inlineStr">
        <is>
          <t>Pen Set</t>
        </is>
      </c>
      <c r="F176" t="inlineStr">
        <is>
          <t>Stationery</t>
        </is>
      </c>
      <c r="G176" t="inlineStr">
        <is>
          <t>East</t>
        </is>
      </c>
      <c r="H176" t="inlineStr">
        <is>
          <t>Online</t>
        </is>
      </c>
      <c r="I176" t="inlineStr">
        <is>
          <t>Sara</t>
        </is>
      </c>
      <c r="J176" t="n">
        <v>3</v>
      </c>
      <c r="K176" s="6" t="n">
        <v>8</v>
      </c>
      <c r="L176" s="7" t="n">
        <v>0.15</v>
      </c>
      <c r="M176" t="inlineStr">
        <is>
          <t>Completed</t>
        </is>
      </c>
    </row>
    <row r="177">
      <c r="A177" t="inlineStr">
        <is>
          <t>ORD0176</t>
        </is>
      </c>
      <c r="B177" s="5" t="n">
        <v>45981</v>
      </c>
      <c r="C177" t="inlineStr">
        <is>
          <t>CUST1075</t>
        </is>
      </c>
      <c r="D177" t="inlineStr">
        <is>
          <t>P1008</t>
        </is>
      </c>
      <c r="E177" t="inlineStr">
        <is>
          <t>Standing Desk</t>
        </is>
      </c>
      <c r="F177" t="inlineStr">
        <is>
          <t>Furniture</t>
        </is>
      </c>
      <c r="G177" t="inlineStr">
        <is>
          <t>North</t>
        </is>
      </c>
      <c r="H177" t="inlineStr">
        <is>
          <t>In-store</t>
        </is>
      </c>
      <c r="I177" t="inlineStr">
        <is>
          <t>Kabir</t>
        </is>
      </c>
      <c r="J177" t="n">
        <v>1</v>
      </c>
      <c r="K177" s="6" t="n">
        <v>379</v>
      </c>
      <c r="L177" s="7" t="n">
        <v>0.05</v>
      </c>
      <c r="M177" t="inlineStr">
        <is>
          <t>Completed</t>
        </is>
      </c>
    </row>
    <row r="178">
      <c r="A178" t="inlineStr">
        <is>
          <t>ORD0177</t>
        </is>
      </c>
      <c r="B178" s="5" t="n">
        <v>45889</v>
      </c>
      <c r="C178" t="inlineStr">
        <is>
          <t>CUST1036</t>
        </is>
      </c>
      <c r="D178" t="inlineStr">
        <is>
          <t>P1008</t>
        </is>
      </c>
      <c r="E178" t="inlineStr">
        <is>
          <t>Standing Desk</t>
        </is>
      </c>
      <c r="F178" t="inlineStr">
        <is>
          <t>Furniture</t>
        </is>
      </c>
      <c r="G178" t="inlineStr">
        <is>
          <t>North</t>
        </is>
      </c>
      <c r="H178" t="inlineStr">
        <is>
          <t>Marketplace</t>
        </is>
      </c>
      <c r="I178" t="inlineStr">
        <is>
          <t>Diya</t>
        </is>
      </c>
      <c r="J178" t="n">
        <v>1</v>
      </c>
      <c r="K178" s="6" t="n">
        <v>379</v>
      </c>
      <c r="L178" s="7" t="n">
        <v>0.05</v>
      </c>
      <c r="M178" t="inlineStr">
        <is>
          <t>Completed</t>
        </is>
      </c>
    </row>
    <row r="179">
      <c r="A179" t="inlineStr">
        <is>
          <t>ORD0178</t>
        </is>
      </c>
      <c r="B179" s="5" t="n">
        <v>45962</v>
      </c>
      <c r="C179" t="inlineStr">
        <is>
          <t>CUST1074</t>
        </is>
      </c>
      <c r="D179" t="inlineStr">
        <is>
          <t>P1010</t>
        </is>
      </c>
      <c r="E179" t="inlineStr">
        <is>
          <t>Notebook Pack</t>
        </is>
      </c>
      <c r="F179" t="inlineStr">
        <is>
          <t>Stationery</t>
        </is>
      </c>
      <c r="G179" t="inlineStr">
        <is>
          <t>Central</t>
        </is>
      </c>
      <c r="H179" t="inlineStr">
        <is>
          <t>Marketplace</t>
        </is>
      </c>
      <c r="I179" t="inlineStr">
        <is>
          <t>Sara</t>
        </is>
      </c>
      <c r="J179" t="n">
        <v>2</v>
      </c>
      <c r="K179" s="6" t="n">
        <v>10</v>
      </c>
      <c r="L179" s="7" t="n">
        <v>0.1</v>
      </c>
      <c r="M179" t="inlineStr">
        <is>
          <t>Pending</t>
        </is>
      </c>
    </row>
    <row r="180">
      <c r="A180" t="inlineStr">
        <is>
          <t>ORD0179</t>
        </is>
      </c>
      <c r="B180" s="5" t="n">
        <v>45950</v>
      </c>
      <c r="C180" t="inlineStr">
        <is>
          <t>CUST1077</t>
        </is>
      </c>
      <c r="D180" t="inlineStr">
        <is>
          <t>P1015</t>
        </is>
      </c>
      <c r="E180" t="inlineStr">
        <is>
          <t>Phone Stand</t>
        </is>
      </c>
      <c r="F180" t="inlineStr">
        <is>
          <t>Accessories</t>
        </is>
      </c>
      <c r="G180" t="inlineStr">
        <is>
          <t>West</t>
        </is>
      </c>
      <c r="H180" t="inlineStr">
        <is>
          <t>Marketplace</t>
        </is>
      </c>
      <c r="I180" t="inlineStr">
        <is>
          <t>Aarav</t>
        </is>
      </c>
      <c r="J180" t="n">
        <v>3</v>
      </c>
      <c r="K180" s="6" t="n">
        <v>16</v>
      </c>
      <c r="L180" s="7" t="n">
        <v>0.05</v>
      </c>
      <c r="M180" t="inlineStr">
        <is>
          <t>Completed</t>
        </is>
      </c>
    </row>
    <row r="181">
      <c r="A181" t="inlineStr">
        <is>
          <t>ORD0180</t>
        </is>
      </c>
      <c r="B181" s="5" t="n">
        <v>45710</v>
      </c>
      <c r="C181" t="inlineStr">
        <is>
          <t>CUST1010</t>
        </is>
      </c>
      <c r="D181" t="inlineStr">
        <is>
          <t>P1008</t>
        </is>
      </c>
      <c r="E181" t="inlineStr">
        <is>
          <t>Standing Desk</t>
        </is>
      </c>
      <c r="F181" t="inlineStr">
        <is>
          <t>Furniture</t>
        </is>
      </c>
      <c r="G181" t="inlineStr">
        <is>
          <t>Central</t>
        </is>
      </c>
      <c r="H181" t="inlineStr">
        <is>
          <t>Marketplace</t>
        </is>
      </c>
      <c r="I181" t="inlineStr">
        <is>
          <t>Meera</t>
        </is>
      </c>
      <c r="J181" t="n">
        <v>4</v>
      </c>
      <c r="K181" s="6" t="n">
        <v>379</v>
      </c>
      <c r="L181" s="7" t="n">
        <v>0.05</v>
      </c>
      <c r="M181" t="inlineStr">
        <is>
          <t>Completed</t>
        </is>
      </c>
    </row>
    <row r="182">
      <c r="A182" t="inlineStr">
        <is>
          <t>ORD0181</t>
        </is>
      </c>
      <c r="B182" s="5" t="n">
        <v>45882</v>
      </c>
      <c r="C182" t="inlineStr">
        <is>
          <t>CUST1066</t>
        </is>
      </c>
      <c r="D182" t="inlineStr">
        <is>
          <t>P1012</t>
        </is>
      </c>
      <c r="E182" t="inlineStr">
        <is>
          <t>Whiteboard</t>
        </is>
      </c>
      <c r="F182" t="inlineStr">
        <is>
          <t>Stationery</t>
        </is>
      </c>
      <c r="G182" t="inlineStr">
        <is>
          <t>Central</t>
        </is>
      </c>
      <c r="H182" t="inlineStr">
        <is>
          <t>Online</t>
        </is>
      </c>
      <c r="I182" t="inlineStr">
        <is>
          <t>Kabir</t>
        </is>
      </c>
      <c r="J182" t="n">
        <v>10</v>
      </c>
      <c r="K182" s="6" t="n">
        <v>59</v>
      </c>
      <c r="L182" s="7" t="n">
        <v>0.15</v>
      </c>
      <c r="M182" t="inlineStr">
        <is>
          <t>Completed</t>
        </is>
      </c>
    </row>
    <row r="183">
      <c r="A183" t="inlineStr">
        <is>
          <t>ORD0182</t>
        </is>
      </c>
      <c r="B183" s="5" t="n">
        <v>45867</v>
      </c>
      <c r="C183" t="inlineStr">
        <is>
          <t>CUST1076</t>
        </is>
      </c>
      <c r="D183" t="inlineStr">
        <is>
          <t>P1007</t>
        </is>
      </c>
      <c r="E183" t="inlineStr">
        <is>
          <t>Office Chair</t>
        </is>
      </c>
      <c r="F183" t="inlineStr">
        <is>
          <t>Furniture</t>
        </is>
      </c>
      <c r="G183" t="inlineStr">
        <is>
          <t>North</t>
        </is>
      </c>
      <c r="H183" t="inlineStr">
        <is>
          <t>Marketplace</t>
        </is>
      </c>
      <c r="I183" t="inlineStr">
        <is>
          <t>Diya</t>
        </is>
      </c>
      <c r="J183" t="n">
        <v>4</v>
      </c>
      <c r="K183" s="6" t="n">
        <v>179</v>
      </c>
      <c r="L183" s="7" t="n">
        <v>0.2</v>
      </c>
      <c r="M183" t="inlineStr">
        <is>
          <t>Completed</t>
        </is>
      </c>
    </row>
    <row r="184">
      <c r="A184" t="inlineStr">
        <is>
          <t>ORD0183</t>
        </is>
      </c>
      <c r="B184" s="5" t="n">
        <v>45706</v>
      </c>
      <c r="C184" t="inlineStr">
        <is>
          <t>CUST1036</t>
        </is>
      </c>
      <c r="D184" t="inlineStr">
        <is>
          <t>P1006</t>
        </is>
      </c>
      <c r="E184" t="inlineStr">
        <is>
          <t>Webcam HD</t>
        </is>
      </c>
      <c r="F184" t="inlineStr">
        <is>
          <t>Electronics</t>
        </is>
      </c>
      <c r="G184" t="inlineStr">
        <is>
          <t>East</t>
        </is>
      </c>
      <c r="H184" t="inlineStr">
        <is>
          <t>Marketplace</t>
        </is>
      </c>
      <c r="I184" t="inlineStr">
        <is>
          <t>Ishaan</t>
        </is>
      </c>
      <c r="J184" t="n">
        <v>2</v>
      </c>
      <c r="K184" s="6" t="n">
        <v>69</v>
      </c>
      <c r="L184" s="7" t="n">
        <v>0.1</v>
      </c>
      <c r="M184" t="inlineStr">
        <is>
          <t>Completed</t>
        </is>
      </c>
    </row>
    <row r="185">
      <c r="A185" t="inlineStr">
        <is>
          <t>ORD0184</t>
        </is>
      </c>
      <c r="B185" s="5" t="n">
        <v>45699</v>
      </c>
      <c r="C185" t="inlineStr">
        <is>
          <t>CUST1044</t>
        </is>
      </c>
      <c r="D185" t="inlineStr">
        <is>
          <t>P1006</t>
        </is>
      </c>
      <c r="E185" t="inlineStr">
        <is>
          <t>Webcam HD</t>
        </is>
      </c>
      <c r="F185" t="inlineStr">
        <is>
          <t>Electronics</t>
        </is>
      </c>
      <c r="G185" t="inlineStr">
        <is>
          <t>East</t>
        </is>
      </c>
      <c r="H185" t="inlineStr">
        <is>
          <t>Marketplace</t>
        </is>
      </c>
      <c r="I185" t="inlineStr">
        <is>
          <t>Rohan</t>
        </is>
      </c>
      <c r="J185" t="n">
        <v>3</v>
      </c>
      <c r="K185" s="6" t="n">
        <v>69</v>
      </c>
      <c r="L185" s="7" t="n">
        <v>0</v>
      </c>
      <c r="M185" t="inlineStr">
        <is>
          <t>Completed</t>
        </is>
      </c>
    </row>
    <row r="186">
      <c r="A186" t="inlineStr">
        <is>
          <t>ORD0185</t>
        </is>
      </c>
      <c r="B186" s="5" t="n">
        <v>45962</v>
      </c>
      <c r="C186" t="inlineStr">
        <is>
          <t>CUST1039</t>
        </is>
      </c>
      <c r="D186" t="inlineStr">
        <is>
          <t>P1003</t>
        </is>
      </c>
      <c r="E186" t="inlineStr">
        <is>
          <t>Mechanical Keyboard</t>
        </is>
      </c>
      <c r="F186" t="inlineStr">
        <is>
          <t>Electronics</t>
        </is>
      </c>
      <c r="G186" t="inlineStr">
        <is>
          <t>Central</t>
        </is>
      </c>
      <c r="H186" t="inlineStr">
        <is>
          <t>In-store</t>
        </is>
      </c>
      <c r="I186" t="inlineStr">
        <is>
          <t>Anaya</t>
        </is>
      </c>
      <c r="J186" t="n">
        <v>3</v>
      </c>
      <c r="K186" s="6" t="n">
        <v>75</v>
      </c>
      <c r="L186" s="7" t="n">
        <v>0</v>
      </c>
      <c r="M186" t="inlineStr">
        <is>
          <t>Completed</t>
        </is>
      </c>
    </row>
    <row r="187">
      <c r="A187" t="inlineStr">
        <is>
          <t>ORD0186</t>
        </is>
      </c>
      <c r="B187" s="5" t="n">
        <v>45723</v>
      </c>
      <c r="C187" t="inlineStr">
        <is>
          <t>CUST1067</t>
        </is>
      </c>
      <c r="D187" t="inlineStr">
        <is>
          <t>P1014</t>
        </is>
      </c>
      <c r="E187" t="inlineStr">
        <is>
          <t>Backpack</t>
        </is>
      </c>
      <c r="F187" t="inlineStr">
        <is>
          <t>Accessories</t>
        </is>
      </c>
      <c r="G187" t="inlineStr">
        <is>
          <t>North</t>
        </is>
      </c>
      <c r="H187" t="inlineStr">
        <is>
          <t>Marketplace</t>
        </is>
      </c>
      <c r="I187" t="inlineStr">
        <is>
          <t>Anaya</t>
        </is>
      </c>
      <c r="J187" t="n">
        <v>3</v>
      </c>
      <c r="K187" s="6" t="n">
        <v>49</v>
      </c>
      <c r="L187" s="7" t="n">
        <v>0.2</v>
      </c>
      <c r="M187" t="inlineStr">
        <is>
          <t>Completed</t>
        </is>
      </c>
    </row>
    <row r="188">
      <c r="A188" t="inlineStr">
        <is>
          <t>ORD0187</t>
        </is>
      </c>
      <c r="B188" s="5" t="n">
        <v>45843</v>
      </c>
      <c r="C188" t="inlineStr">
        <is>
          <t>CUST1043</t>
        </is>
      </c>
      <c r="D188" t="inlineStr">
        <is>
          <t>P1001</t>
        </is>
      </c>
      <c r="E188" t="inlineStr">
        <is>
          <t>Laptop Pro 14</t>
        </is>
      </c>
      <c r="F188" t="inlineStr">
        <is>
          <t>Electronics</t>
        </is>
      </c>
      <c r="G188" t="inlineStr">
        <is>
          <t>West</t>
        </is>
      </c>
      <c r="H188" t="inlineStr">
        <is>
          <t>Online</t>
        </is>
      </c>
      <c r="I188" t="inlineStr">
        <is>
          <t>Ishaan</t>
        </is>
      </c>
      <c r="J188" t="n">
        <v>1</v>
      </c>
      <c r="K188" s="6" t="n">
        <v>1150</v>
      </c>
      <c r="L188" s="7" t="n">
        <v>0</v>
      </c>
      <c r="M188" t="inlineStr">
        <is>
          <t>Completed</t>
        </is>
      </c>
    </row>
    <row r="189">
      <c r="A189" t="inlineStr">
        <is>
          <t>ORD0188</t>
        </is>
      </c>
      <c r="B189" s="5" t="n">
        <v>45697</v>
      </c>
      <c r="C189" t="inlineStr">
        <is>
          <t>CUST1064</t>
        </is>
      </c>
      <c r="D189" t="inlineStr">
        <is>
          <t>P1003</t>
        </is>
      </c>
      <c r="E189" t="inlineStr">
        <is>
          <t>Mechanical Keyboard</t>
        </is>
      </c>
      <c r="F189" t="inlineStr">
        <is>
          <t>Electronics</t>
        </is>
      </c>
      <c r="G189" t="inlineStr">
        <is>
          <t>Central</t>
        </is>
      </c>
      <c r="H189" t="inlineStr">
        <is>
          <t>Marketplace</t>
        </is>
      </c>
      <c r="I189" t="inlineStr">
        <is>
          <t>Aarav</t>
        </is>
      </c>
      <c r="J189" t="n">
        <v>1</v>
      </c>
      <c r="K189" s="6" t="n">
        <v>75</v>
      </c>
      <c r="L189" s="7" t="n">
        <v>0</v>
      </c>
      <c r="M189" t="inlineStr">
        <is>
          <t>Pending</t>
        </is>
      </c>
    </row>
    <row r="190">
      <c r="A190" t="inlineStr">
        <is>
          <t>ORD0189</t>
        </is>
      </c>
      <c r="B190" s="5" t="n">
        <v>45830</v>
      </c>
      <c r="C190" t="inlineStr">
        <is>
          <t>CUST1016</t>
        </is>
      </c>
      <c r="D190" t="inlineStr">
        <is>
          <t>P1011</t>
        </is>
      </c>
      <c r="E190" t="inlineStr">
        <is>
          <t>Pen Set</t>
        </is>
      </c>
      <c r="F190" t="inlineStr">
        <is>
          <t>Stationery</t>
        </is>
      </c>
      <c r="G190" t="inlineStr">
        <is>
          <t>Central</t>
        </is>
      </c>
      <c r="H190" t="inlineStr">
        <is>
          <t>In-store</t>
        </is>
      </c>
      <c r="I190" t="inlineStr">
        <is>
          <t>Ishaan</t>
        </is>
      </c>
      <c r="J190" t="n">
        <v>5</v>
      </c>
      <c r="K190" s="6" t="n">
        <v>8</v>
      </c>
      <c r="L190" s="7" t="n">
        <v>0.15</v>
      </c>
      <c r="M190" t="inlineStr">
        <is>
          <t>Completed</t>
        </is>
      </c>
    </row>
    <row r="191">
      <c r="A191" t="inlineStr">
        <is>
          <t>ORD0190</t>
        </is>
      </c>
      <c r="B191" s="5" t="n">
        <v>46012</v>
      </c>
      <c r="C191" t="inlineStr">
        <is>
          <t>CUST1056</t>
        </is>
      </c>
      <c r="D191" t="inlineStr">
        <is>
          <t>P1014</t>
        </is>
      </c>
      <c r="E191" t="inlineStr">
        <is>
          <t>Backpack</t>
        </is>
      </c>
      <c r="F191" t="inlineStr">
        <is>
          <t>Accessories</t>
        </is>
      </c>
      <c r="G191" t="inlineStr">
        <is>
          <t>North</t>
        </is>
      </c>
      <c r="H191" t="inlineStr">
        <is>
          <t>In-store</t>
        </is>
      </c>
      <c r="I191" t="inlineStr">
        <is>
          <t>Meera</t>
        </is>
      </c>
      <c r="J191" t="n">
        <v>4</v>
      </c>
      <c r="K191" s="6" t="n">
        <v>49</v>
      </c>
      <c r="L191" s="7" t="n">
        <v>0</v>
      </c>
      <c r="M191" t="inlineStr">
        <is>
          <t>Completed</t>
        </is>
      </c>
    </row>
    <row r="192">
      <c r="A192" t="inlineStr">
        <is>
          <t>ORD0191</t>
        </is>
      </c>
      <c r="B192" s="5" t="n">
        <v>45970</v>
      </c>
      <c r="C192" t="inlineStr">
        <is>
          <t>CUST1057</t>
        </is>
      </c>
      <c r="D192" t="inlineStr">
        <is>
          <t>P1008</t>
        </is>
      </c>
      <c r="E192" t="inlineStr">
        <is>
          <t>Standing Desk</t>
        </is>
      </c>
      <c r="F192" t="inlineStr">
        <is>
          <t>Furniture</t>
        </is>
      </c>
      <c r="G192" t="inlineStr">
        <is>
          <t>South</t>
        </is>
      </c>
      <c r="H192" t="inlineStr">
        <is>
          <t>Marketplace</t>
        </is>
      </c>
      <c r="I192" t="inlineStr">
        <is>
          <t>Sara</t>
        </is>
      </c>
      <c r="J192" t="n">
        <v>1</v>
      </c>
      <c r="K192" s="6" t="n">
        <v>379</v>
      </c>
      <c r="L192" s="7" t="n">
        <v>0.2</v>
      </c>
      <c r="M192" t="inlineStr">
        <is>
          <t>Completed</t>
        </is>
      </c>
    </row>
    <row r="193">
      <c r="A193" t="inlineStr">
        <is>
          <t>ORD0192</t>
        </is>
      </c>
      <c r="B193" s="5" t="n">
        <v>45757</v>
      </c>
      <c r="C193" t="inlineStr">
        <is>
          <t>CUST1056</t>
        </is>
      </c>
      <c r="D193" t="inlineStr">
        <is>
          <t>P1015</t>
        </is>
      </c>
      <c r="E193" t="inlineStr">
        <is>
          <t>Phone Stand</t>
        </is>
      </c>
      <c r="F193" t="inlineStr">
        <is>
          <t>Accessories</t>
        </is>
      </c>
      <c r="G193" t="inlineStr">
        <is>
          <t>West</t>
        </is>
      </c>
      <c r="H193" t="inlineStr">
        <is>
          <t>In-store</t>
        </is>
      </c>
      <c r="I193" t="inlineStr">
        <is>
          <t>Rohan</t>
        </is>
      </c>
      <c r="J193" t="n">
        <v>2</v>
      </c>
      <c r="K193" s="6" t="n">
        <v>16</v>
      </c>
      <c r="L193" s="7" t="n">
        <v>0.15</v>
      </c>
      <c r="M193" t="inlineStr">
        <is>
          <t>Completed</t>
        </is>
      </c>
    </row>
    <row r="194">
      <c r="A194" t="inlineStr">
        <is>
          <t>ORD0193</t>
        </is>
      </c>
      <c r="B194" s="5" t="n">
        <v>45760</v>
      </c>
      <c r="C194" t="inlineStr">
        <is>
          <t>CUST1032</t>
        </is>
      </c>
      <c r="D194" t="inlineStr">
        <is>
          <t>P1003</t>
        </is>
      </c>
      <c r="E194" t="inlineStr">
        <is>
          <t>Mechanical Keyboard</t>
        </is>
      </c>
      <c r="F194" t="inlineStr">
        <is>
          <t>Electronics</t>
        </is>
      </c>
      <c r="G194" t="inlineStr">
        <is>
          <t>North</t>
        </is>
      </c>
      <c r="H194" t="inlineStr">
        <is>
          <t>Marketplace</t>
        </is>
      </c>
      <c r="I194" t="inlineStr">
        <is>
          <t>Anaya</t>
        </is>
      </c>
      <c r="J194" t="n">
        <v>4</v>
      </c>
      <c r="K194" s="6" t="n">
        <v>75</v>
      </c>
      <c r="L194" s="7" t="n">
        <v>0</v>
      </c>
      <c r="M194" t="inlineStr">
        <is>
          <t>Completed</t>
        </is>
      </c>
    </row>
    <row r="195">
      <c r="A195" t="inlineStr">
        <is>
          <t>ORD0194</t>
        </is>
      </c>
      <c r="B195" s="5" t="n">
        <v>45710</v>
      </c>
      <c r="C195" t="inlineStr">
        <is>
          <t>CUST1015</t>
        </is>
      </c>
      <c r="D195" t="inlineStr">
        <is>
          <t>P1009</t>
        </is>
      </c>
      <c r="E195" t="inlineStr">
        <is>
          <t>Desk Lamp</t>
        </is>
      </c>
      <c r="F195" t="inlineStr">
        <is>
          <t>Furniture</t>
        </is>
      </c>
      <c r="G195" t="inlineStr">
        <is>
          <t>East</t>
        </is>
      </c>
      <c r="H195" t="inlineStr">
        <is>
          <t>Online</t>
        </is>
      </c>
      <c r="I195" t="inlineStr">
        <is>
          <t>Kabir</t>
        </is>
      </c>
      <c r="J195" t="n">
        <v>3</v>
      </c>
      <c r="K195" s="6" t="n">
        <v>39</v>
      </c>
      <c r="L195" s="7" t="n">
        <v>0.15</v>
      </c>
      <c r="M195" t="inlineStr">
        <is>
          <t>Completed</t>
        </is>
      </c>
    </row>
    <row r="196">
      <c r="A196" t="inlineStr">
        <is>
          <t>ORD0195</t>
        </is>
      </c>
      <c r="B196" s="5" t="n">
        <v>45920</v>
      </c>
      <c r="C196" t="inlineStr">
        <is>
          <t>CUST1011</t>
        </is>
      </c>
      <c r="D196" t="inlineStr">
        <is>
          <t>P1008</t>
        </is>
      </c>
      <c r="E196" t="inlineStr">
        <is>
          <t>Standing Desk</t>
        </is>
      </c>
      <c r="F196" t="inlineStr">
        <is>
          <t>Furniture</t>
        </is>
      </c>
      <c r="G196" t="inlineStr">
        <is>
          <t>South</t>
        </is>
      </c>
      <c r="H196" t="inlineStr">
        <is>
          <t>In-store</t>
        </is>
      </c>
      <c r="I196" t="inlineStr">
        <is>
          <t>Aarav</t>
        </is>
      </c>
      <c r="J196" t="n">
        <v>1</v>
      </c>
      <c r="K196" s="6" t="n">
        <v>379</v>
      </c>
      <c r="L196" s="7" t="n">
        <v>0.1</v>
      </c>
      <c r="M196" t="inlineStr">
        <is>
          <t>Pending</t>
        </is>
      </c>
    </row>
    <row r="197">
      <c r="A197" t="inlineStr">
        <is>
          <t>ORD0196</t>
        </is>
      </c>
      <c r="B197" s="5" t="n">
        <v>45685</v>
      </c>
      <c r="C197" t="inlineStr">
        <is>
          <t>CUST1030</t>
        </is>
      </c>
      <c r="D197" t="inlineStr">
        <is>
          <t>P1007</t>
        </is>
      </c>
      <c r="E197" t="inlineStr">
        <is>
          <t>Office Chair</t>
        </is>
      </c>
      <c r="F197" t="inlineStr">
        <is>
          <t>Furniture</t>
        </is>
      </c>
      <c r="G197" t="inlineStr">
        <is>
          <t>West</t>
        </is>
      </c>
      <c r="H197" t="inlineStr">
        <is>
          <t>Online</t>
        </is>
      </c>
      <c r="I197" t="inlineStr">
        <is>
          <t>Aarav</t>
        </is>
      </c>
      <c r="J197" t="n">
        <v>2</v>
      </c>
      <c r="K197" s="6" t="n">
        <v>179</v>
      </c>
      <c r="L197" s="7" t="n">
        <v>0.05</v>
      </c>
      <c r="M197" t="inlineStr">
        <is>
          <t>Completed</t>
        </is>
      </c>
    </row>
    <row r="198">
      <c r="A198" t="inlineStr">
        <is>
          <t>ORD0197</t>
        </is>
      </c>
      <c r="B198" s="5" t="n">
        <v>45708</v>
      </c>
      <c r="C198" t="inlineStr">
        <is>
          <t>CUST1042</t>
        </is>
      </c>
      <c r="D198" t="inlineStr">
        <is>
          <t>P1006</t>
        </is>
      </c>
      <c r="E198" t="inlineStr">
        <is>
          <t>Webcam HD</t>
        </is>
      </c>
      <c r="F198" t="inlineStr">
        <is>
          <t>Electronics</t>
        </is>
      </c>
      <c r="G198" t="inlineStr">
        <is>
          <t>South</t>
        </is>
      </c>
      <c r="H198" t="inlineStr">
        <is>
          <t>Online</t>
        </is>
      </c>
      <c r="I198" t="inlineStr">
        <is>
          <t>Sara</t>
        </is>
      </c>
      <c r="J198" t="n">
        <v>4</v>
      </c>
      <c r="K198" s="6" t="n">
        <v>69</v>
      </c>
      <c r="L198" s="7" t="n">
        <v>0.2</v>
      </c>
      <c r="M198" t="inlineStr">
        <is>
          <t>Completed</t>
        </is>
      </c>
    </row>
    <row r="199">
      <c r="A199" t="inlineStr">
        <is>
          <t>ORD0198</t>
        </is>
      </c>
      <c r="B199" s="5" t="n">
        <v>45729</v>
      </c>
      <c r="C199" t="inlineStr">
        <is>
          <t>CUST1057</t>
        </is>
      </c>
      <c r="D199" t="inlineStr">
        <is>
          <t>P1012</t>
        </is>
      </c>
      <c r="E199" t="inlineStr">
        <is>
          <t>Whiteboard</t>
        </is>
      </c>
      <c r="F199" t="inlineStr">
        <is>
          <t>Stationery</t>
        </is>
      </c>
      <c r="G199" t="inlineStr">
        <is>
          <t>Central</t>
        </is>
      </c>
      <c r="H199" t="inlineStr">
        <is>
          <t>Online</t>
        </is>
      </c>
      <c r="I199" t="inlineStr">
        <is>
          <t>Aarav</t>
        </is>
      </c>
      <c r="J199" t="n">
        <v>3</v>
      </c>
      <c r="K199" s="6" t="n">
        <v>59</v>
      </c>
      <c r="L199" s="7" t="n">
        <v>0.1</v>
      </c>
      <c r="M199" t="inlineStr">
        <is>
          <t>Pending</t>
        </is>
      </c>
    </row>
    <row r="200">
      <c r="A200" t="inlineStr">
        <is>
          <t>ORD0199</t>
        </is>
      </c>
      <c r="B200" s="5" t="n">
        <v>45768</v>
      </c>
      <c r="C200" t="inlineStr">
        <is>
          <t>CUST1077</t>
        </is>
      </c>
      <c r="D200" t="inlineStr">
        <is>
          <t>P1005</t>
        </is>
      </c>
      <c r="E200" t="inlineStr">
        <is>
          <t>Monitor 27 inch</t>
        </is>
      </c>
      <c r="F200" t="inlineStr">
        <is>
          <t>Electronics</t>
        </is>
      </c>
      <c r="G200" t="inlineStr">
        <is>
          <t>Central</t>
        </is>
      </c>
      <c r="H200" t="inlineStr">
        <is>
          <t>In-store</t>
        </is>
      </c>
      <c r="I200" t="inlineStr">
        <is>
          <t>Kabir</t>
        </is>
      </c>
      <c r="J200" t="n">
        <v>4</v>
      </c>
      <c r="K200" s="6" t="n">
        <v>299</v>
      </c>
      <c r="L200" s="7" t="n">
        <v>0.15</v>
      </c>
      <c r="M200" t="inlineStr">
        <is>
          <t>Completed</t>
        </is>
      </c>
    </row>
    <row r="201">
      <c r="A201" t="inlineStr">
        <is>
          <t>ORD0200</t>
        </is>
      </c>
      <c r="B201" s="5" t="n">
        <v>45812</v>
      </c>
      <c r="C201" t="inlineStr">
        <is>
          <t>CUST1053</t>
        </is>
      </c>
      <c r="D201" t="inlineStr">
        <is>
          <t>P1004</t>
        </is>
      </c>
      <c r="E201" t="inlineStr">
        <is>
          <t>USB-C Hub</t>
        </is>
      </c>
      <c r="F201" t="inlineStr">
        <is>
          <t>Electronics</t>
        </is>
      </c>
      <c r="G201" t="inlineStr">
        <is>
          <t>Central</t>
        </is>
      </c>
      <c r="H201" t="inlineStr">
        <is>
          <t>In-store</t>
        </is>
      </c>
      <c r="I201" t="inlineStr">
        <is>
          <t>Sara</t>
        </is>
      </c>
      <c r="J201" t="n">
        <v>1</v>
      </c>
      <c r="K201" s="6" t="n">
        <v>49</v>
      </c>
      <c r="L201" s="7" t="n">
        <v>0</v>
      </c>
      <c r="M201" t="inlineStr">
        <is>
          <t>Completed</t>
        </is>
      </c>
    </row>
    <row r="202">
      <c r="A202" t="inlineStr">
        <is>
          <t>ORD0201</t>
        </is>
      </c>
      <c r="B202" s="5" t="n">
        <v>45932</v>
      </c>
      <c r="C202" t="inlineStr">
        <is>
          <t>CUST1073</t>
        </is>
      </c>
      <c r="D202" t="inlineStr">
        <is>
          <t>P1010</t>
        </is>
      </c>
      <c r="E202" t="inlineStr">
        <is>
          <t>Notebook Pack</t>
        </is>
      </c>
      <c r="F202" t="inlineStr">
        <is>
          <t>Stationery</t>
        </is>
      </c>
      <c r="G202" t="inlineStr">
        <is>
          <t>South</t>
        </is>
      </c>
      <c r="H202" t="inlineStr">
        <is>
          <t>Marketplace</t>
        </is>
      </c>
      <c r="I202" t="inlineStr">
        <is>
          <t>Rohan</t>
        </is>
      </c>
      <c r="J202" t="n">
        <v>1</v>
      </c>
      <c r="K202" s="6" t="n">
        <v>10</v>
      </c>
      <c r="L202" s="7" t="n">
        <v>0.15</v>
      </c>
      <c r="M202" t="inlineStr">
        <is>
          <t>Completed</t>
        </is>
      </c>
    </row>
    <row r="203">
      <c r="A203" t="inlineStr">
        <is>
          <t>ORD0202</t>
        </is>
      </c>
      <c r="B203" s="5" t="n">
        <v>45972</v>
      </c>
      <c r="C203" t="inlineStr">
        <is>
          <t>CUST1053</t>
        </is>
      </c>
      <c r="D203" t="inlineStr">
        <is>
          <t>P1001</t>
        </is>
      </c>
      <c r="E203" t="inlineStr">
        <is>
          <t>Laptop Pro 14</t>
        </is>
      </c>
      <c r="F203" t="inlineStr">
        <is>
          <t>Electronics</t>
        </is>
      </c>
      <c r="G203" t="inlineStr">
        <is>
          <t>South</t>
        </is>
      </c>
      <c r="H203" t="inlineStr">
        <is>
          <t>Marketplace</t>
        </is>
      </c>
      <c r="I203" t="inlineStr">
        <is>
          <t>Anaya</t>
        </is>
      </c>
      <c r="J203" t="n">
        <v>2</v>
      </c>
      <c r="K203" s="6" t="n">
        <v>1150</v>
      </c>
      <c r="L203" s="7" t="n">
        <v>0.15</v>
      </c>
      <c r="M203" t="inlineStr">
        <is>
          <t>Completed</t>
        </is>
      </c>
    </row>
    <row r="204">
      <c r="A204" t="inlineStr">
        <is>
          <t>ORD0203</t>
        </is>
      </c>
      <c r="B204" s="5" t="n">
        <v>45927</v>
      </c>
      <c r="C204" t="inlineStr">
        <is>
          <t>CUST1070</t>
        </is>
      </c>
      <c r="D204" t="inlineStr">
        <is>
          <t>P1002</t>
        </is>
      </c>
      <c r="E204" t="inlineStr">
        <is>
          <t>Wireless Mouse</t>
        </is>
      </c>
      <c r="F204" t="inlineStr">
        <is>
          <t>Electronics</t>
        </is>
      </c>
      <c r="G204" t="inlineStr">
        <is>
          <t>North</t>
        </is>
      </c>
      <c r="H204" t="inlineStr">
        <is>
          <t>In-store</t>
        </is>
      </c>
      <c r="I204" t="inlineStr">
        <is>
          <t>Aarav</t>
        </is>
      </c>
      <c r="J204" t="n">
        <v>2</v>
      </c>
      <c r="K204" s="6" t="n">
        <v>25</v>
      </c>
      <c r="L204" s="7" t="n">
        <v>0.15</v>
      </c>
      <c r="M204" t="inlineStr">
        <is>
          <t>Completed</t>
        </is>
      </c>
    </row>
    <row r="205">
      <c r="A205" t="inlineStr">
        <is>
          <t>ORD0204</t>
        </is>
      </c>
      <c r="B205" s="5" t="n">
        <v>45856</v>
      </c>
      <c r="C205" t="inlineStr">
        <is>
          <t>CUST1002</t>
        </is>
      </c>
      <c r="D205" t="inlineStr">
        <is>
          <t>P1011</t>
        </is>
      </c>
      <c r="E205" t="inlineStr">
        <is>
          <t>Pen Set</t>
        </is>
      </c>
      <c r="F205" t="inlineStr">
        <is>
          <t>Stationery</t>
        </is>
      </c>
      <c r="G205" t="inlineStr">
        <is>
          <t>East</t>
        </is>
      </c>
      <c r="H205" t="inlineStr">
        <is>
          <t>Online</t>
        </is>
      </c>
      <c r="I205" t="inlineStr">
        <is>
          <t>Diya</t>
        </is>
      </c>
      <c r="J205" t="n">
        <v>10</v>
      </c>
      <c r="K205" s="6" t="n">
        <v>8</v>
      </c>
      <c r="L205" s="7" t="n">
        <v>0.05</v>
      </c>
      <c r="M205" t="inlineStr">
        <is>
          <t>Completed</t>
        </is>
      </c>
    </row>
    <row r="206">
      <c r="A206" t="inlineStr">
        <is>
          <t>ORD0205</t>
        </is>
      </c>
      <c r="B206" s="5" t="n">
        <v>45955</v>
      </c>
      <c r="C206" t="inlineStr">
        <is>
          <t>CUST1017</t>
        </is>
      </c>
      <c r="D206" t="inlineStr">
        <is>
          <t>P1013</t>
        </is>
      </c>
      <c r="E206" t="inlineStr">
        <is>
          <t>Water Bottle</t>
        </is>
      </c>
      <c r="F206" t="inlineStr">
        <is>
          <t>Accessories</t>
        </is>
      </c>
      <c r="G206" t="inlineStr">
        <is>
          <t>North</t>
        </is>
      </c>
      <c r="H206" t="inlineStr">
        <is>
          <t>In-store</t>
        </is>
      </c>
      <c r="I206" t="inlineStr">
        <is>
          <t>Ishaan</t>
        </is>
      </c>
      <c r="J206" t="n">
        <v>3</v>
      </c>
      <c r="K206" s="6" t="n">
        <v>18</v>
      </c>
      <c r="L206" s="7" t="n">
        <v>0.05</v>
      </c>
      <c r="M206" t="inlineStr">
        <is>
          <t>Completed</t>
        </is>
      </c>
    </row>
    <row r="207">
      <c r="A207" t="inlineStr">
        <is>
          <t>ORD0206</t>
        </is>
      </c>
      <c r="B207" s="5" t="n">
        <v>46008</v>
      </c>
      <c r="C207" t="inlineStr">
        <is>
          <t>CUST1061</t>
        </is>
      </c>
      <c r="D207" t="inlineStr">
        <is>
          <t>P1014</t>
        </is>
      </c>
      <c r="E207" t="inlineStr">
        <is>
          <t>Backpack</t>
        </is>
      </c>
      <c r="F207" t="inlineStr">
        <is>
          <t>Accessories</t>
        </is>
      </c>
      <c r="G207" t="inlineStr">
        <is>
          <t>South</t>
        </is>
      </c>
      <c r="H207" t="inlineStr">
        <is>
          <t>Online</t>
        </is>
      </c>
      <c r="I207" t="inlineStr">
        <is>
          <t>Sara</t>
        </is>
      </c>
      <c r="J207" t="n">
        <v>2</v>
      </c>
      <c r="K207" s="6" t="n">
        <v>49</v>
      </c>
      <c r="L207" s="7" t="n">
        <v>0.2</v>
      </c>
      <c r="M207" t="inlineStr">
        <is>
          <t>Completed</t>
        </is>
      </c>
    </row>
    <row r="208">
      <c r="A208" t="inlineStr">
        <is>
          <t>ORD0207</t>
        </is>
      </c>
      <c r="B208" s="5" t="n">
        <v>45808</v>
      </c>
      <c r="C208" t="inlineStr">
        <is>
          <t>CUST1005</t>
        </is>
      </c>
      <c r="D208" t="inlineStr">
        <is>
          <t>P1001</t>
        </is>
      </c>
      <c r="E208" t="inlineStr">
        <is>
          <t>Laptop Pro 14</t>
        </is>
      </c>
      <c r="F208" t="inlineStr">
        <is>
          <t>Electronics</t>
        </is>
      </c>
      <c r="G208" t="inlineStr">
        <is>
          <t>East</t>
        </is>
      </c>
      <c r="H208" t="inlineStr">
        <is>
          <t>In-store</t>
        </is>
      </c>
      <c r="I208" t="inlineStr">
        <is>
          <t>Sara</t>
        </is>
      </c>
      <c r="J208" t="n">
        <v>1</v>
      </c>
      <c r="K208" s="6" t="n">
        <v>1150</v>
      </c>
      <c r="L208" s="7" t="n">
        <v>0</v>
      </c>
      <c r="M208" t="inlineStr">
        <is>
          <t>Completed</t>
        </is>
      </c>
    </row>
    <row r="209">
      <c r="A209" t="inlineStr">
        <is>
          <t>ORD0208</t>
        </is>
      </c>
      <c r="B209" s="5" t="n">
        <v>45676</v>
      </c>
      <c r="C209" t="inlineStr">
        <is>
          <t>CUST1036</t>
        </is>
      </c>
      <c r="D209" t="inlineStr">
        <is>
          <t>P1005</t>
        </is>
      </c>
      <c r="E209" t="inlineStr">
        <is>
          <t>Monitor 27 inch</t>
        </is>
      </c>
      <c r="F209" t="inlineStr">
        <is>
          <t>Electronics</t>
        </is>
      </c>
      <c r="G209" t="inlineStr">
        <is>
          <t>East</t>
        </is>
      </c>
      <c r="H209" t="inlineStr">
        <is>
          <t>Online</t>
        </is>
      </c>
      <c r="I209" t="inlineStr">
        <is>
          <t>Anaya</t>
        </is>
      </c>
      <c r="J209" t="n">
        <v>3</v>
      </c>
      <c r="K209" s="6" t="n">
        <v>299</v>
      </c>
      <c r="L209" s="7" t="n">
        <v>0</v>
      </c>
      <c r="M209" t="inlineStr">
        <is>
          <t>Completed</t>
        </is>
      </c>
    </row>
    <row r="210">
      <c r="A210" t="inlineStr">
        <is>
          <t>ORD0209</t>
        </is>
      </c>
      <c r="B210" s="5" t="n">
        <v>45721</v>
      </c>
      <c r="C210" t="inlineStr">
        <is>
          <t>CUST1051</t>
        </is>
      </c>
      <c r="D210" t="inlineStr">
        <is>
          <t>P1005</t>
        </is>
      </c>
      <c r="E210" t="inlineStr">
        <is>
          <t>Monitor 27 inch</t>
        </is>
      </c>
      <c r="F210" t="inlineStr">
        <is>
          <t>Electronics</t>
        </is>
      </c>
      <c r="G210" t="inlineStr">
        <is>
          <t>West</t>
        </is>
      </c>
      <c r="H210" t="inlineStr">
        <is>
          <t>In-store</t>
        </is>
      </c>
      <c r="I210" t="inlineStr">
        <is>
          <t>Ishaan</t>
        </is>
      </c>
      <c r="J210" t="n">
        <v>4</v>
      </c>
      <c r="K210" s="6" t="n">
        <v>299</v>
      </c>
      <c r="L210" s="7" t="n">
        <v>0.1</v>
      </c>
      <c r="M210" t="inlineStr">
        <is>
          <t>Completed</t>
        </is>
      </c>
    </row>
    <row r="211">
      <c r="A211" t="inlineStr">
        <is>
          <t>ORD0210</t>
        </is>
      </c>
      <c r="B211" s="5" t="n">
        <v>46012</v>
      </c>
      <c r="C211" t="inlineStr">
        <is>
          <t>CUST1034</t>
        </is>
      </c>
      <c r="D211" t="inlineStr">
        <is>
          <t>P1008</t>
        </is>
      </c>
      <c r="E211" t="inlineStr">
        <is>
          <t>Standing Desk</t>
        </is>
      </c>
      <c r="F211" t="inlineStr">
        <is>
          <t>Furniture</t>
        </is>
      </c>
      <c r="G211" t="inlineStr">
        <is>
          <t>North</t>
        </is>
      </c>
      <c r="H211" t="inlineStr">
        <is>
          <t>Marketplace</t>
        </is>
      </c>
      <c r="I211" t="inlineStr">
        <is>
          <t>Rohan</t>
        </is>
      </c>
      <c r="J211" t="n">
        <v>2</v>
      </c>
      <c r="K211" s="6" t="n">
        <v>379</v>
      </c>
      <c r="L211" s="7" t="n">
        <v>0.15</v>
      </c>
      <c r="M211" t="inlineStr">
        <is>
          <t>Completed</t>
        </is>
      </c>
    </row>
    <row r="212">
      <c r="A212" t="inlineStr">
        <is>
          <t>ORD0211</t>
        </is>
      </c>
      <c r="B212" s="5" t="n">
        <v>45750</v>
      </c>
      <c r="C212" t="inlineStr">
        <is>
          <t>CUST1013</t>
        </is>
      </c>
      <c r="D212" t="inlineStr">
        <is>
          <t>P1010</t>
        </is>
      </c>
      <c r="E212" t="inlineStr">
        <is>
          <t>Notebook Pack</t>
        </is>
      </c>
      <c r="F212" t="inlineStr">
        <is>
          <t>Stationery</t>
        </is>
      </c>
      <c r="G212" t="inlineStr">
        <is>
          <t>North</t>
        </is>
      </c>
      <c r="H212" t="inlineStr">
        <is>
          <t>In-store</t>
        </is>
      </c>
      <c r="I212" t="inlineStr">
        <is>
          <t>Kabir</t>
        </is>
      </c>
      <c r="J212" t="n">
        <v>2</v>
      </c>
      <c r="K212" s="6" t="n">
        <v>10</v>
      </c>
      <c r="L212" s="7" t="n">
        <v>0.05</v>
      </c>
      <c r="M212" t="inlineStr">
        <is>
          <t>Completed</t>
        </is>
      </c>
    </row>
    <row r="213">
      <c r="A213" t="inlineStr">
        <is>
          <t>ORD0212</t>
        </is>
      </c>
      <c r="B213" s="5" t="n">
        <v>45966</v>
      </c>
      <c r="C213" t="inlineStr">
        <is>
          <t>CUST1056</t>
        </is>
      </c>
      <c r="D213" t="inlineStr">
        <is>
          <t>P1008</t>
        </is>
      </c>
      <c r="E213" t="inlineStr">
        <is>
          <t>Standing Desk</t>
        </is>
      </c>
      <c r="F213" t="inlineStr">
        <is>
          <t>Furniture</t>
        </is>
      </c>
      <c r="G213" t="inlineStr">
        <is>
          <t>East</t>
        </is>
      </c>
      <c r="H213" t="inlineStr">
        <is>
          <t>In-store</t>
        </is>
      </c>
      <c r="I213" t="inlineStr">
        <is>
          <t>Anaya</t>
        </is>
      </c>
      <c r="J213" t="n">
        <v>3</v>
      </c>
      <c r="K213" s="6" t="n">
        <v>379</v>
      </c>
      <c r="L213" s="7" t="n">
        <v>0</v>
      </c>
      <c r="M213" t="inlineStr">
        <is>
          <t>Completed</t>
        </is>
      </c>
    </row>
    <row r="214">
      <c r="A214" t="inlineStr">
        <is>
          <t>ORD0213</t>
        </is>
      </c>
      <c r="B214" s="5" t="n">
        <v>45880</v>
      </c>
      <c r="C214" t="inlineStr">
        <is>
          <t>CUST1009</t>
        </is>
      </c>
      <c r="D214" t="inlineStr">
        <is>
          <t>P1010</t>
        </is>
      </c>
      <c r="E214" t="inlineStr">
        <is>
          <t>Notebook Pack</t>
        </is>
      </c>
      <c r="F214" t="inlineStr">
        <is>
          <t>Stationery</t>
        </is>
      </c>
      <c r="G214" t="inlineStr">
        <is>
          <t>West</t>
        </is>
      </c>
      <c r="H214" t="inlineStr">
        <is>
          <t>In-store</t>
        </is>
      </c>
      <c r="I214" t="inlineStr">
        <is>
          <t>Ishaan</t>
        </is>
      </c>
      <c r="J214" t="n">
        <v>1</v>
      </c>
      <c r="K214" s="6" t="n">
        <v>10</v>
      </c>
      <c r="L214" s="7" t="n">
        <v>0</v>
      </c>
      <c r="M214" t="inlineStr">
        <is>
          <t>Completed</t>
        </is>
      </c>
    </row>
    <row r="215">
      <c r="A215" t="inlineStr">
        <is>
          <t>ORD0214</t>
        </is>
      </c>
      <c r="B215" s="5" t="n">
        <v>45731</v>
      </c>
      <c r="C215" t="inlineStr">
        <is>
          <t>CUST1056</t>
        </is>
      </c>
      <c r="D215" t="inlineStr">
        <is>
          <t>P1001</t>
        </is>
      </c>
      <c r="E215" t="inlineStr">
        <is>
          <t>Laptop Pro 14</t>
        </is>
      </c>
      <c r="F215" t="inlineStr">
        <is>
          <t>Electronics</t>
        </is>
      </c>
      <c r="G215" t="inlineStr">
        <is>
          <t>North</t>
        </is>
      </c>
      <c r="H215" t="inlineStr">
        <is>
          <t>Online</t>
        </is>
      </c>
      <c r="I215" t="inlineStr">
        <is>
          <t>Anaya</t>
        </is>
      </c>
      <c r="J215" t="n">
        <v>4</v>
      </c>
      <c r="K215" s="6" t="n">
        <v>1150</v>
      </c>
      <c r="L215" s="7" t="n">
        <v>0.2</v>
      </c>
      <c r="M215" t="inlineStr">
        <is>
          <t>Completed</t>
        </is>
      </c>
    </row>
    <row r="216">
      <c r="A216" t="inlineStr">
        <is>
          <t>ORD0215</t>
        </is>
      </c>
      <c r="B216" s="5" t="n">
        <v>45854</v>
      </c>
      <c r="C216" t="inlineStr">
        <is>
          <t>CUST1077</t>
        </is>
      </c>
      <c r="D216" t="inlineStr">
        <is>
          <t>P1006</t>
        </is>
      </c>
      <c r="E216" t="inlineStr">
        <is>
          <t>Webcam HD</t>
        </is>
      </c>
      <c r="F216" t="inlineStr">
        <is>
          <t>Electronics</t>
        </is>
      </c>
      <c r="G216" t="inlineStr">
        <is>
          <t>South</t>
        </is>
      </c>
      <c r="H216" t="inlineStr">
        <is>
          <t>Marketplace</t>
        </is>
      </c>
      <c r="I216" t="inlineStr">
        <is>
          <t>Anaya</t>
        </is>
      </c>
      <c r="J216" t="n">
        <v>8</v>
      </c>
      <c r="K216" s="6" t="n">
        <v>69</v>
      </c>
      <c r="L216" s="7" t="n">
        <v>0</v>
      </c>
      <c r="M216" t="inlineStr">
        <is>
          <t>Completed</t>
        </is>
      </c>
    </row>
    <row r="217">
      <c r="A217" t="inlineStr">
        <is>
          <t>ORD0216</t>
        </is>
      </c>
      <c r="B217" s="5" t="n">
        <v>45885</v>
      </c>
      <c r="C217" t="inlineStr">
        <is>
          <t>CUST1017</t>
        </is>
      </c>
      <c r="D217" t="inlineStr">
        <is>
          <t>P1006</t>
        </is>
      </c>
      <c r="E217" t="inlineStr">
        <is>
          <t>Webcam HD</t>
        </is>
      </c>
      <c r="F217" t="inlineStr">
        <is>
          <t>Electronics</t>
        </is>
      </c>
      <c r="G217" t="inlineStr">
        <is>
          <t>Central</t>
        </is>
      </c>
      <c r="H217" t="inlineStr">
        <is>
          <t>In-store</t>
        </is>
      </c>
      <c r="I217" t="inlineStr">
        <is>
          <t>Kabir</t>
        </is>
      </c>
      <c r="J217" t="n">
        <v>4</v>
      </c>
      <c r="K217" s="6" t="n">
        <v>69</v>
      </c>
      <c r="L217" s="7" t="n">
        <v>0.15</v>
      </c>
      <c r="M217" t="inlineStr">
        <is>
          <t>Completed</t>
        </is>
      </c>
    </row>
    <row r="218">
      <c r="A218" t="inlineStr">
        <is>
          <t>ORD0217</t>
        </is>
      </c>
      <c r="B218" s="5" t="n">
        <v>45716</v>
      </c>
      <c r="C218" t="inlineStr">
        <is>
          <t>CUST1063</t>
        </is>
      </c>
      <c r="D218" t="inlineStr">
        <is>
          <t>P1004</t>
        </is>
      </c>
      <c r="E218" t="inlineStr">
        <is>
          <t>USB-C Hub</t>
        </is>
      </c>
      <c r="F218" t="inlineStr">
        <is>
          <t>Electronics</t>
        </is>
      </c>
      <c r="G218" t="inlineStr">
        <is>
          <t>Central</t>
        </is>
      </c>
      <c r="H218" t="inlineStr">
        <is>
          <t>In-store</t>
        </is>
      </c>
      <c r="I218" t="inlineStr">
        <is>
          <t>Diya</t>
        </is>
      </c>
      <c r="J218" t="n">
        <v>1</v>
      </c>
      <c r="K218" s="6" t="n">
        <v>49</v>
      </c>
      <c r="L218" s="7" t="n">
        <v>0</v>
      </c>
      <c r="M218" t="inlineStr">
        <is>
          <t>Pending</t>
        </is>
      </c>
    </row>
    <row r="219">
      <c r="A219" t="inlineStr">
        <is>
          <t>ORD0218</t>
        </is>
      </c>
      <c r="B219" s="5" t="n">
        <v>45791</v>
      </c>
      <c r="C219" t="inlineStr">
        <is>
          <t>CUST1078</t>
        </is>
      </c>
      <c r="D219" t="inlineStr">
        <is>
          <t>P1005</t>
        </is>
      </c>
      <c r="E219" t="inlineStr">
        <is>
          <t>Monitor 27 inch</t>
        </is>
      </c>
      <c r="F219" t="inlineStr">
        <is>
          <t>Electronics</t>
        </is>
      </c>
      <c r="G219" t="inlineStr">
        <is>
          <t>East</t>
        </is>
      </c>
      <c r="H219" t="inlineStr">
        <is>
          <t>Marketplace</t>
        </is>
      </c>
      <c r="I219" t="inlineStr">
        <is>
          <t>Sara</t>
        </is>
      </c>
      <c r="J219" t="n">
        <v>3</v>
      </c>
      <c r="K219" s="6" t="n">
        <v>299</v>
      </c>
      <c r="L219" s="7" t="n">
        <v>0</v>
      </c>
      <c r="M219" t="inlineStr">
        <is>
          <t>Pending</t>
        </is>
      </c>
    </row>
    <row r="220">
      <c r="A220" t="inlineStr">
        <is>
          <t>ORD0219</t>
        </is>
      </c>
      <c r="B220" s="5" t="n">
        <v>45720</v>
      </c>
      <c r="C220" t="inlineStr">
        <is>
          <t>CUST1057</t>
        </is>
      </c>
      <c r="D220" t="inlineStr">
        <is>
          <t>P1004</t>
        </is>
      </c>
      <c r="E220" t="inlineStr">
        <is>
          <t>USB-C Hub</t>
        </is>
      </c>
      <c r="F220" t="inlineStr">
        <is>
          <t>Electronics</t>
        </is>
      </c>
      <c r="G220" t="inlineStr">
        <is>
          <t>South</t>
        </is>
      </c>
      <c r="H220" t="inlineStr">
        <is>
          <t>Marketplace</t>
        </is>
      </c>
      <c r="I220" t="inlineStr">
        <is>
          <t>Diya</t>
        </is>
      </c>
      <c r="J220" t="n">
        <v>1</v>
      </c>
      <c r="K220" s="6" t="n">
        <v>49</v>
      </c>
      <c r="L220" s="7" t="n">
        <v>0</v>
      </c>
      <c r="M220" t="inlineStr">
        <is>
          <t>Completed</t>
        </is>
      </c>
    </row>
    <row r="221">
      <c r="A221" t="inlineStr">
        <is>
          <t>ORD0220</t>
        </is>
      </c>
      <c r="B221" s="5" t="n">
        <v>46007</v>
      </c>
      <c r="C221" t="inlineStr">
        <is>
          <t>CUST1044</t>
        </is>
      </c>
      <c r="D221" t="inlineStr">
        <is>
          <t>P1013</t>
        </is>
      </c>
      <c r="E221" t="inlineStr">
        <is>
          <t>Water Bottle</t>
        </is>
      </c>
      <c r="F221" t="inlineStr">
        <is>
          <t>Accessories</t>
        </is>
      </c>
      <c r="G221" t="inlineStr">
        <is>
          <t>North</t>
        </is>
      </c>
      <c r="H221" t="inlineStr">
        <is>
          <t>Marketplace</t>
        </is>
      </c>
      <c r="I221" t="inlineStr">
        <is>
          <t>Kabir</t>
        </is>
      </c>
      <c r="J221" t="n">
        <v>8</v>
      </c>
      <c r="K221" s="6" t="n">
        <v>18</v>
      </c>
      <c r="L221" s="7" t="n">
        <v>0.05</v>
      </c>
      <c r="M221" t="inlineStr">
        <is>
          <t>Completed</t>
        </is>
      </c>
    </row>
    <row r="222">
      <c r="A222" t="inlineStr">
        <is>
          <t>ORD0221</t>
        </is>
      </c>
      <c r="B222" s="5" t="n">
        <v>45738</v>
      </c>
      <c r="C222" t="inlineStr">
        <is>
          <t>CUST1022</t>
        </is>
      </c>
      <c r="D222" t="inlineStr">
        <is>
          <t>P1014</t>
        </is>
      </c>
      <c r="E222" t="inlineStr">
        <is>
          <t>Backpack</t>
        </is>
      </c>
      <c r="F222" t="inlineStr">
        <is>
          <t>Accessories</t>
        </is>
      </c>
      <c r="G222" t="inlineStr">
        <is>
          <t>East</t>
        </is>
      </c>
      <c r="H222" t="inlineStr">
        <is>
          <t>Marketplace</t>
        </is>
      </c>
      <c r="I222" t="inlineStr">
        <is>
          <t>Meera</t>
        </is>
      </c>
      <c r="J222" t="n">
        <v>3</v>
      </c>
      <c r="K222" s="6" t="n">
        <v>49</v>
      </c>
      <c r="L222" s="7" t="n">
        <v>0.2</v>
      </c>
      <c r="M222" t="inlineStr">
        <is>
          <t>Completed</t>
        </is>
      </c>
    </row>
    <row r="223">
      <c r="A223" t="inlineStr">
        <is>
          <t>ORD0222</t>
        </is>
      </c>
      <c r="B223" s="5" t="n">
        <v>45729</v>
      </c>
      <c r="C223" t="inlineStr">
        <is>
          <t>CUST1003</t>
        </is>
      </c>
      <c r="D223" t="inlineStr">
        <is>
          <t>P1013</t>
        </is>
      </c>
      <c r="E223" t="inlineStr">
        <is>
          <t>Water Bottle</t>
        </is>
      </c>
      <c r="F223" t="inlineStr">
        <is>
          <t>Accessories</t>
        </is>
      </c>
      <c r="G223" t="inlineStr">
        <is>
          <t>East</t>
        </is>
      </c>
      <c r="H223" t="inlineStr">
        <is>
          <t>Marketplace</t>
        </is>
      </c>
      <c r="I223" t="inlineStr">
        <is>
          <t>Sara</t>
        </is>
      </c>
      <c r="J223" t="n">
        <v>1</v>
      </c>
      <c r="K223" s="6" t="n">
        <v>18</v>
      </c>
      <c r="L223" s="7" t="n">
        <v>0.1</v>
      </c>
      <c r="M223" t="inlineStr">
        <is>
          <t>Completed</t>
        </is>
      </c>
    </row>
    <row r="224">
      <c r="A224" t="inlineStr">
        <is>
          <t>ORD0223</t>
        </is>
      </c>
      <c r="B224" s="5" t="n">
        <v>45940</v>
      </c>
      <c r="C224" t="inlineStr">
        <is>
          <t>CUST1008</t>
        </is>
      </c>
      <c r="D224" t="inlineStr">
        <is>
          <t>P1013</t>
        </is>
      </c>
      <c r="E224" t="inlineStr">
        <is>
          <t>Water Bottle</t>
        </is>
      </c>
      <c r="F224" t="inlineStr">
        <is>
          <t>Accessories</t>
        </is>
      </c>
      <c r="G224" t="inlineStr">
        <is>
          <t>East</t>
        </is>
      </c>
      <c r="H224" t="inlineStr">
        <is>
          <t>In-store</t>
        </is>
      </c>
      <c r="I224" t="inlineStr">
        <is>
          <t>Sara</t>
        </is>
      </c>
      <c r="J224" t="n">
        <v>1</v>
      </c>
      <c r="K224" s="6" t="n">
        <v>18</v>
      </c>
      <c r="L224" s="7" t="n">
        <v>0</v>
      </c>
      <c r="M224" t="inlineStr">
        <is>
          <t>Returned</t>
        </is>
      </c>
    </row>
    <row r="225">
      <c r="A225" t="inlineStr">
        <is>
          <t>ORD0224</t>
        </is>
      </c>
      <c r="B225" s="5" t="n">
        <v>45868</v>
      </c>
      <c r="C225" t="inlineStr">
        <is>
          <t>CUST1009</t>
        </is>
      </c>
      <c r="D225" t="inlineStr">
        <is>
          <t>P1009</t>
        </is>
      </c>
      <c r="E225" t="inlineStr">
        <is>
          <t>Desk Lamp</t>
        </is>
      </c>
      <c r="F225" t="inlineStr">
        <is>
          <t>Furniture</t>
        </is>
      </c>
      <c r="G225" t="inlineStr">
        <is>
          <t>South</t>
        </is>
      </c>
      <c r="H225" t="inlineStr">
        <is>
          <t>In-store</t>
        </is>
      </c>
      <c r="I225" t="inlineStr">
        <is>
          <t>Sara</t>
        </is>
      </c>
      <c r="J225" t="n">
        <v>4</v>
      </c>
      <c r="K225" s="6" t="n">
        <v>39</v>
      </c>
      <c r="L225" s="7" t="n">
        <v>0.15</v>
      </c>
      <c r="M225" t="inlineStr">
        <is>
          <t>Completed</t>
        </is>
      </c>
    </row>
    <row r="226">
      <c r="A226" t="inlineStr">
        <is>
          <t>ORD0225</t>
        </is>
      </c>
      <c r="B226" s="5" t="n">
        <v>46006</v>
      </c>
      <c r="C226" t="inlineStr">
        <is>
          <t>CUST1070</t>
        </is>
      </c>
      <c r="D226" t="inlineStr">
        <is>
          <t>P1008</t>
        </is>
      </c>
      <c r="E226" t="inlineStr">
        <is>
          <t>Standing Desk</t>
        </is>
      </c>
      <c r="F226" t="inlineStr">
        <is>
          <t>Furniture</t>
        </is>
      </c>
      <c r="G226" t="inlineStr">
        <is>
          <t>Central</t>
        </is>
      </c>
      <c r="H226" t="inlineStr">
        <is>
          <t>Online</t>
        </is>
      </c>
      <c r="I226" t="inlineStr">
        <is>
          <t>Ishaan</t>
        </is>
      </c>
      <c r="J226" t="n">
        <v>2</v>
      </c>
      <c r="K226" s="6" t="n">
        <v>379</v>
      </c>
      <c r="L226" s="7" t="n">
        <v>0</v>
      </c>
      <c r="M226" t="inlineStr">
        <is>
          <t>Completed</t>
        </is>
      </c>
    </row>
    <row r="227">
      <c r="A227" t="inlineStr">
        <is>
          <t>ORD0226</t>
        </is>
      </c>
      <c r="B227" s="5" t="n">
        <v>45915</v>
      </c>
      <c r="C227" t="inlineStr">
        <is>
          <t>CUST1015</t>
        </is>
      </c>
      <c r="D227" t="inlineStr">
        <is>
          <t>P1007</t>
        </is>
      </c>
      <c r="E227" t="inlineStr">
        <is>
          <t>Office Chair</t>
        </is>
      </c>
      <c r="F227" t="inlineStr">
        <is>
          <t>Furniture</t>
        </is>
      </c>
      <c r="G227" t="inlineStr">
        <is>
          <t>Central</t>
        </is>
      </c>
      <c r="H227" t="inlineStr">
        <is>
          <t>Online</t>
        </is>
      </c>
      <c r="I227" t="inlineStr">
        <is>
          <t>Ishaan</t>
        </is>
      </c>
      <c r="J227" t="n">
        <v>5</v>
      </c>
      <c r="K227" s="6" t="n">
        <v>179</v>
      </c>
      <c r="L227" s="7" t="n">
        <v>0</v>
      </c>
      <c r="M227" t="inlineStr">
        <is>
          <t>Completed</t>
        </is>
      </c>
    </row>
    <row r="228">
      <c r="A228" t="inlineStr">
        <is>
          <t>ORD0227</t>
        </is>
      </c>
      <c r="B228" s="5" t="n">
        <v>46021</v>
      </c>
      <c r="C228" t="inlineStr">
        <is>
          <t>CUST1036</t>
        </is>
      </c>
      <c r="D228" t="inlineStr">
        <is>
          <t>P1006</t>
        </is>
      </c>
      <c r="E228" t="inlineStr">
        <is>
          <t>Webcam HD</t>
        </is>
      </c>
      <c r="F228" t="inlineStr">
        <is>
          <t>Electronics</t>
        </is>
      </c>
      <c r="G228" t="inlineStr">
        <is>
          <t>North</t>
        </is>
      </c>
      <c r="H228" t="inlineStr">
        <is>
          <t>In-store</t>
        </is>
      </c>
      <c r="I228" t="inlineStr">
        <is>
          <t>Kabir</t>
        </is>
      </c>
      <c r="J228" t="n">
        <v>1</v>
      </c>
      <c r="K228" s="6" t="n">
        <v>69</v>
      </c>
      <c r="L228" s="7" t="n">
        <v>0.15</v>
      </c>
      <c r="M228" t="inlineStr">
        <is>
          <t>Completed</t>
        </is>
      </c>
    </row>
    <row r="229">
      <c r="A229" t="inlineStr">
        <is>
          <t>ORD0228</t>
        </is>
      </c>
      <c r="B229" s="5" t="n">
        <v>45978</v>
      </c>
      <c r="C229" t="inlineStr">
        <is>
          <t>CUST1011</t>
        </is>
      </c>
      <c r="D229" t="inlineStr">
        <is>
          <t>P1003</t>
        </is>
      </c>
      <c r="E229" t="inlineStr">
        <is>
          <t>Mechanical Keyboard</t>
        </is>
      </c>
      <c r="F229" t="inlineStr">
        <is>
          <t>Electronics</t>
        </is>
      </c>
      <c r="G229" t="inlineStr">
        <is>
          <t>Central</t>
        </is>
      </c>
      <c r="H229" t="inlineStr">
        <is>
          <t>Marketplace</t>
        </is>
      </c>
      <c r="I229" t="inlineStr">
        <is>
          <t>Ishaan</t>
        </is>
      </c>
      <c r="J229" t="n">
        <v>1</v>
      </c>
      <c r="K229" s="6" t="n">
        <v>75</v>
      </c>
      <c r="L229" s="7" t="n">
        <v>0.15</v>
      </c>
      <c r="M229" t="inlineStr">
        <is>
          <t>Completed</t>
        </is>
      </c>
    </row>
    <row r="230">
      <c r="A230" t="inlineStr">
        <is>
          <t>ORD0229</t>
        </is>
      </c>
      <c r="B230" s="5" t="n">
        <v>45995</v>
      </c>
      <c r="C230" t="inlineStr">
        <is>
          <t>CUST1043</t>
        </is>
      </c>
      <c r="D230" t="inlineStr">
        <is>
          <t>P1003</t>
        </is>
      </c>
      <c r="E230" t="inlineStr">
        <is>
          <t>Mechanical Keyboard</t>
        </is>
      </c>
      <c r="F230" t="inlineStr">
        <is>
          <t>Electronics</t>
        </is>
      </c>
      <c r="G230" t="inlineStr">
        <is>
          <t>Central</t>
        </is>
      </c>
      <c r="H230" t="inlineStr">
        <is>
          <t>Online</t>
        </is>
      </c>
      <c r="I230" t="inlineStr">
        <is>
          <t>Aarav</t>
        </is>
      </c>
      <c r="J230" t="n">
        <v>3</v>
      </c>
      <c r="K230" s="6" t="n">
        <v>75</v>
      </c>
      <c r="L230" s="7" t="n">
        <v>0.15</v>
      </c>
      <c r="M230" t="inlineStr">
        <is>
          <t>Completed</t>
        </is>
      </c>
    </row>
    <row r="231">
      <c r="A231" t="inlineStr">
        <is>
          <t>ORD0230</t>
        </is>
      </c>
      <c r="B231" s="5" t="n">
        <v>45681</v>
      </c>
      <c r="C231" t="inlineStr">
        <is>
          <t>CUST1033</t>
        </is>
      </c>
      <c r="D231" t="inlineStr">
        <is>
          <t>P1002</t>
        </is>
      </c>
      <c r="E231" t="inlineStr">
        <is>
          <t>Wireless Mouse</t>
        </is>
      </c>
      <c r="F231" t="inlineStr">
        <is>
          <t>Electronics</t>
        </is>
      </c>
      <c r="G231" t="inlineStr">
        <is>
          <t>South</t>
        </is>
      </c>
      <c r="H231" t="inlineStr">
        <is>
          <t>Marketplace</t>
        </is>
      </c>
      <c r="I231" t="inlineStr">
        <is>
          <t>Aarav</t>
        </is>
      </c>
      <c r="J231" t="n">
        <v>8</v>
      </c>
      <c r="K231" s="6" t="n">
        <v>25</v>
      </c>
      <c r="L231" s="7" t="n">
        <v>0.15</v>
      </c>
      <c r="M231" t="inlineStr">
        <is>
          <t>Completed</t>
        </is>
      </c>
    </row>
    <row r="232">
      <c r="A232" t="inlineStr">
        <is>
          <t>ORD0231</t>
        </is>
      </c>
      <c r="B232" s="5" t="n">
        <v>45979</v>
      </c>
      <c r="C232" t="inlineStr">
        <is>
          <t>CUST1038</t>
        </is>
      </c>
      <c r="D232" t="inlineStr">
        <is>
          <t>P1008</t>
        </is>
      </c>
      <c r="E232" t="inlineStr">
        <is>
          <t>Standing Desk</t>
        </is>
      </c>
      <c r="F232" t="inlineStr">
        <is>
          <t>Furniture</t>
        </is>
      </c>
      <c r="G232" t="inlineStr">
        <is>
          <t>West</t>
        </is>
      </c>
      <c r="H232" t="inlineStr">
        <is>
          <t>Online</t>
        </is>
      </c>
      <c r="I232" t="inlineStr">
        <is>
          <t>Rohan</t>
        </is>
      </c>
      <c r="J232" t="n">
        <v>2</v>
      </c>
      <c r="K232" s="6" t="n">
        <v>379</v>
      </c>
      <c r="L232" s="7" t="n">
        <v>0.2</v>
      </c>
      <c r="M232" t="inlineStr">
        <is>
          <t>Completed</t>
        </is>
      </c>
    </row>
    <row r="233">
      <c r="A233" t="inlineStr">
        <is>
          <t>ORD0232</t>
        </is>
      </c>
      <c r="B233" s="5" t="n">
        <v>45890</v>
      </c>
      <c r="C233" t="inlineStr">
        <is>
          <t>CUST1020</t>
        </is>
      </c>
      <c r="D233" t="inlineStr">
        <is>
          <t>P1005</t>
        </is>
      </c>
      <c r="E233" t="inlineStr">
        <is>
          <t>Monitor 27 inch</t>
        </is>
      </c>
      <c r="F233" t="inlineStr">
        <is>
          <t>Electronics</t>
        </is>
      </c>
      <c r="G233" t="inlineStr">
        <is>
          <t>West</t>
        </is>
      </c>
      <c r="H233" t="inlineStr">
        <is>
          <t>In-store</t>
        </is>
      </c>
      <c r="I233" t="inlineStr">
        <is>
          <t>Meera</t>
        </is>
      </c>
      <c r="J233" t="n">
        <v>1</v>
      </c>
      <c r="K233" s="6" t="n">
        <v>299</v>
      </c>
      <c r="L233" s="7" t="n">
        <v>0</v>
      </c>
      <c r="M233" t="inlineStr">
        <is>
          <t>Completed</t>
        </is>
      </c>
    </row>
    <row r="234">
      <c r="A234" t="inlineStr">
        <is>
          <t>ORD0233</t>
        </is>
      </c>
      <c r="B234" s="5" t="n">
        <v>45968</v>
      </c>
      <c r="C234" t="inlineStr">
        <is>
          <t>CUST1040</t>
        </is>
      </c>
      <c r="D234" t="inlineStr">
        <is>
          <t>P1006</t>
        </is>
      </c>
      <c r="E234" t="inlineStr">
        <is>
          <t>Webcam HD</t>
        </is>
      </c>
      <c r="F234" t="inlineStr">
        <is>
          <t>Electronics</t>
        </is>
      </c>
      <c r="G234" t="inlineStr">
        <is>
          <t>East</t>
        </is>
      </c>
      <c r="H234" t="inlineStr">
        <is>
          <t>In-store</t>
        </is>
      </c>
      <c r="I234" t="inlineStr">
        <is>
          <t>Anaya</t>
        </is>
      </c>
      <c r="J234" t="n">
        <v>1</v>
      </c>
      <c r="K234" s="6" t="n">
        <v>69</v>
      </c>
      <c r="L234" s="7" t="n">
        <v>0.2</v>
      </c>
      <c r="M234" t="inlineStr">
        <is>
          <t>Completed</t>
        </is>
      </c>
    </row>
    <row r="235">
      <c r="A235" t="inlineStr">
        <is>
          <t>ORD0234</t>
        </is>
      </c>
      <c r="B235" s="5" t="n">
        <v>45945</v>
      </c>
      <c r="C235" t="inlineStr">
        <is>
          <t>CUST1059</t>
        </is>
      </c>
      <c r="D235" t="inlineStr">
        <is>
          <t>P1009</t>
        </is>
      </c>
      <c r="E235" t="inlineStr">
        <is>
          <t>Desk Lamp</t>
        </is>
      </c>
      <c r="F235" t="inlineStr">
        <is>
          <t>Furniture</t>
        </is>
      </c>
      <c r="G235" t="inlineStr">
        <is>
          <t>North</t>
        </is>
      </c>
      <c r="H235" t="inlineStr">
        <is>
          <t>In-store</t>
        </is>
      </c>
      <c r="I235" t="inlineStr">
        <is>
          <t>Ishaan</t>
        </is>
      </c>
      <c r="J235" t="n">
        <v>1</v>
      </c>
      <c r="K235" s="6" t="n">
        <v>39</v>
      </c>
      <c r="L235" s="7" t="n">
        <v>0</v>
      </c>
      <c r="M235" t="inlineStr">
        <is>
          <t>Completed</t>
        </is>
      </c>
    </row>
    <row r="236">
      <c r="A236" t="inlineStr">
        <is>
          <t>ORD0235</t>
        </is>
      </c>
      <c r="B236" s="5" t="n">
        <v>45683</v>
      </c>
      <c r="C236" t="inlineStr">
        <is>
          <t>CUST1078</t>
        </is>
      </c>
      <c r="D236" t="inlineStr">
        <is>
          <t>P1002</t>
        </is>
      </c>
      <c r="E236" t="inlineStr">
        <is>
          <t>Wireless Mouse</t>
        </is>
      </c>
      <c r="F236" t="inlineStr">
        <is>
          <t>Electronics</t>
        </is>
      </c>
      <c r="G236" t="inlineStr">
        <is>
          <t>West</t>
        </is>
      </c>
      <c r="H236" t="inlineStr">
        <is>
          <t>Online</t>
        </is>
      </c>
      <c r="I236" t="inlineStr">
        <is>
          <t>Ishaan</t>
        </is>
      </c>
      <c r="J236" t="n">
        <v>1</v>
      </c>
      <c r="K236" s="6" t="n">
        <v>25</v>
      </c>
      <c r="L236" s="7" t="n">
        <v>0.1</v>
      </c>
      <c r="M236" t="inlineStr">
        <is>
          <t>Returned</t>
        </is>
      </c>
    </row>
    <row r="237">
      <c r="A237" t="inlineStr">
        <is>
          <t>ORD0236</t>
        </is>
      </c>
      <c r="B237" s="5" t="n">
        <v>45825</v>
      </c>
      <c r="C237" t="inlineStr">
        <is>
          <t>CUST1040</t>
        </is>
      </c>
      <c r="D237" t="inlineStr">
        <is>
          <t>P1014</t>
        </is>
      </c>
      <c r="E237" t="inlineStr">
        <is>
          <t>Backpack</t>
        </is>
      </c>
      <c r="F237" t="inlineStr">
        <is>
          <t>Accessories</t>
        </is>
      </c>
      <c r="G237" t="inlineStr">
        <is>
          <t>South</t>
        </is>
      </c>
      <c r="H237" t="inlineStr">
        <is>
          <t>Online</t>
        </is>
      </c>
      <c r="I237" t="inlineStr">
        <is>
          <t>Sara</t>
        </is>
      </c>
      <c r="J237" t="n">
        <v>8</v>
      </c>
      <c r="K237" s="6" t="n">
        <v>49</v>
      </c>
      <c r="L237" s="7" t="n">
        <v>0.2</v>
      </c>
      <c r="M237" t="inlineStr">
        <is>
          <t>Completed</t>
        </is>
      </c>
    </row>
    <row r="238">
      <c r="A238" t="inlineStr">
        <is>
          <t>ORD0237</t>
        </is>
      </c>
      <c r="B238" s="5" t="n">
        <v>45815</v>
      </c>
      <c r="C238" t="inlineStr">
        <is>
          <t>CUST1050</t>
        </is>
      </c>
      <c r="D238" t="inlineStr">
        <is>
          <t>P1008</t>
        </is>
      </c>
      <c r="E238" t="inlineStr">
        <is>
          <t>Standing Desk</t>
        </is>
      </c>
      <c r="F238" t="inlineStr">
        <is>
          <t>Furniture</t>
        </is>
      </c>
      <c r="G238" t="inlineStr">
        <is>
          <t>Central</t>
        </is>
      </c>
      <c r="H238" t="inlineStr">
        <is>
          <t>In-store</t>
        </is>
      </c>
      <c r="I238" t="inlineStr">
        <is>
          <t>Meera</t>
        </is>
      </c>
      <c r="J238" t="n">
        <v>2</v>
      </c>
      <c r="K238" s="6" t="n">
        <v>379</v>
      </c>
      <c r="L238" s="7" t="n">
        <v>0</v>
      </c>
      <c r="M238" t="inlineStr">
        <is>
          <t>Returned</t>
        </is>
      </c>
    </row>
    <row r="239">
      <c r="A239" t="inlineStr">
        <is>
          <t>ORD0238</t>
        </is>
      </c>
      <c r="B239" s="5" t="n">
        <v>45838</v>
      </c>
      <c r="C239" t="inlineStr">
        <is>
          <t>CUST1063</t>
        </is>
      </c>
      <c r="D239" t="inlineStr">
        <is>
          <t>P1010</t>
        </is>
      </c>
      <c r="E239" t="inlineStr">
        <is>
          <t>Notebook Pack</t>
        </is>
      </c>
      <c r="F239" t="inlineStr">
        <is>
          <t>Stationery</t>
        </is>
      </c>
      <c r="G239" t="inlineStr">
        <is>
          <t>Central</t>
        </is>
      </c>
      <c r="H239" t="inlineStr">
        <is>
          <t>Marketplace</t>
        </is>
      </c>
      <c r="I239" t="inlineStr">
        <is>
          <t>Kabir</t>
        </is>
      </c>
      <c r="J239" t="n">
        <v>1</v>
      </c>
      <c r="K239" s="6" t="n">
        <v>10</v>
      </c>
      <c r="L239" s="7" t="n">
        <v>0.05</v>
      </c>
      <c r="M239" t="inlineStr">
        <is>
          <t>Completed</t>
        </is>
      </c>
    </row>
    <row r="240">
      <c r="A240" t="inlineStr">
        <is>
          <t>ORD0239</t>
        </is>
      </c>
      <c r="B240" s="5" t="n">
        <v>45662</v>
      </c>
      <c r="C240" t="inlineStr">
        <is>
          <t>CUST1017</t>
        </is>
      </c>
      <c r="D240" t="inlineStr">
        <is>
          <t>P1009</t>
        </is>
      </c>
      <c r="E240" t="inlineStr">
        <is>
          <t>Desk Lamp</t>
        </is>
      </c>
      <c r="F240" t="inlineStr">
        <is>
          <t>Furniture</t>
        </is>
      </c>
      <c r="G240" t="inlineStr">
        <is>
          <t>East</t>
        </is>
      </c>
      <c r="H240" t="inlineStr">
        <is>
          <t>Marketplace</t>
        </is>
      </c>
      <c r="I240" t="inlineStr">
        <is>
          <t>Rohan</t>
        </is>
      </c>
      <c r="J240" t="n">
        <v>4</v>
      </c>
      <c r="K240" s="6" t="n">
        <v>39</v>
      </c>
      <c r="L240" s="7" t="n">
        <v>0.1</v>
      </c>
      <c r="M240" t="inlineStr">
        <is>
          <t>Completed</t>
        </is>
      </c>
    </row>
    <row r="241">
      <c r="A241" t="inlineStr">
        <is>
          <t>ORD0240</t>
        </is>
      </c>
      <c r="B241" s="5" t="n">
        <v>45681</v>
      </c>
      <c r="C241" t="inlineStr">
        <is>
          <t>CUST1071</t>
        </is>
      </c>
      <c r="D241" t="inlineStr">
        <is>
          <t>P1006</t>
        </is>
      </c>
      <c r="E241" t="inlineStr">
        <is>
          <t>Webcam HD</t>
        </is>
      </c>
      <c r="F241" t="inlineStr">
        <is>
          <t>Electronics</t>
        </is>
      </c>
      <c r="G241" t="inlineStr">
        <is>
          <t>South</t>
        </is>
      </c>
      <c r="H241" t="inlineStr">
        <is>
          <t>In-store</t>
        </is>
      </c>
      <c r="I241" t="inlineStr">
        <is>
          <t>Diya</t>
        </is>
      </c>
      <c r="J241" t="n">
        <v>2</v>
      </c>
      <c r="K241" s="6" t="n">
        <v>69</v>
      </c>
      <c r="L241" s="7" t="n">
        <v>0.15</v>
      </c>
      <c r="M241" t="inlineStr">
        <is>
          <t>Completed</t>
        </is>
      </c>
    </row>
    <row r="242">
      <c r="A242" t="inlineStr">
        <is>
          <t>ORD0241</t>
        </is>
      </c>
      <c r="B242" s="5" t="n">
        <v>45916</v>
      </c>
      <c r="C242" t="inlineStr">
        <is>
          <t>CUST1035</t>
        </is>
      </c>
      <c r="D242" t="inlineStr">
        <is>
          <t>P1007</t>
        </is>
      </c>
      <c r="E242" t="inlineStr">
        <is>
          <t>Office Chair</t>
        </is>
      </c>
      <c r="F242" t="inlineStr">
        <is>
          <t>Furniture</t>
        </is>
      </c>
      <c r="G242" t="inlineStr">
        <is>
          <t>Central</t>
        </is>
      </c>
      <c r="H242" t="inlineStr">
        <is>
          <t>Marketplace</t>
        </is>
      </c>
      <c r="I242" t="inlineStr">
        <is>
          <t>Ishaan</t>
        </is>
      </c>
      <c r="J242" t="n">
        <v>2</v>
      </c>
      <c r="K242" s="6" t="n">
        <v>179</v>
      </c>
      <c r="L242" s="7" t="n">
        <v>0.15</v>
      </c>
      <c r="M242" t="inlineStr">
        <is>
          <t>Completed</t>
        </is>
      </c>
    </row>
    <row r="243">
      <c r="A243" t="inlineStr">
        <is>
          <t>ORD0242</t>
        </is>
      </c>
      <c r="B243" s="5" t="n">
        <v>45859</v>
      </c>
      <c r="C243" t="inlineStr">
        <is>
          <t>CUST1071</t>
        </is>
      </c>
      <c r="D243" t="inlineStr">
        <is>
          <t>P1002</t>
        </is>
      </c>
      <c r="E243" t="inlineStr">
        <is>
          <t>Wireless Mouse</t>
        </is>
      </c>
      <c r="F243" t="inlineStr">
        <is>
          <t>Electronics</t>
        </is>
      </c>
      <c r="G243" t="inlineStr">
        <is>
          <t>East</t>
        </is>
      </c>
      <c r="H243" t="inlineStr">
        <is>
          <t>Online</t>
        </is>
      </c>
      <c r="I243" t="inlineStr">
        <is>
          <t>Rohan</t>
        </is>
      </c>
      <c r="J243" t="n">
        <v>2</v>
      </c>
      <c r="K243" s="6" t="n">
        <v>25</v>
      </c>
      <c r="L243" s="7" t="n">
        <v>0.05</v>
      </c>
      <c r="M243" t="inlineStr">
        <is>
          <t>Completed</t>
        </is>
      </c>
    </row>
    <row r="244">
      <c r="A244" t="inlineStr">
        <is>
          <t>ORD0243</t>
        </is>
      </c>
      <c r="B244" s="5" t="n">
        <v>45678</v>
      </c>
      <c r="C244" t="inlineStr">
        <is>
          <t>CUST1042</t>
        </is>
      </c>
      <c r="D244" t="inlineStr">
        <is>
          <t>P1009</t>
        </is>
      </c>
      <c r="E244" t="inlineStr">
        <is>
          <t>Desk Lamp</t>
        </is>
      </c>
      <c r="F244" t="inlineStr">
        <is>
          <t>Furniture</t>
        </is>
      </c>
      <c r="G244" t="inlineStr">
        <is>
          <t>West</t>
        </is>
      </c>
      <c r="H244" t="inlineStr">
        <is>
          <t>Marketplace</t>
        </is>
      </c>
      <c r="I244" t="inlineStr">
        <is>
          <t>Ishaan</t>
        </is>
      </c>
      <c r="J244" t="n">
        <v>1</v>
      </c>
      <c r="K244" s="6" t="n">
        <v>39</v>
      </c>
      <c r="L244" s="7" t="n">
        <v>0</v>
      </c>
      <c r="M244" t="inlineStr">
        <is>
          <t>Completed</t>
        </is>
      </c>
    </row>
    <row r="245">
      <c r="A245" t="inlineStr">
        <is>
          <t>ORD0244</t>
        </is>
      </c>
      <c r="B245" s="5" t="n">
        <v>45971</v>
      </c>
      <c r="C245" t="inlineStr">
        <is>
          <t>CUST1078</t>
        </is>
      </c>
      <c r="D245" t="inlineStr">
        <is>
          <t>P1006</t>
        </is>
      </c>
      <c r="E245" t="inlineStr">
        <is>
          <t>Webcam HD</t>
        </is>
      </c>
      <c r="F245" t="inlineStr">
        <is>
          <t>Electronics</t>
        </is>
      </c>
      <c r="G245" t="inlineStr">
        <is>
          <t>East</t>
        </is>
      </c>
      <c r="H245" t="inlineStr">
        <is>
          <t>Marketplace</t>
        </is>
      </c>
      <c r="I245" t="inlineStr">
        <is>
          <t>Sara</t>
        </is>
      </c>
      <c r="J245" t="n">
        <v>1</v>
      </c>
      <c r="K245" s="6" t="n">
        <v>69</v>
      </c>
      <c r="L245" s="7" t="n">
        <v>0.1</v>
      </c>
      <c r="M245" t="inlineStr">
        <is>
          <t>Completed</t>
        </is>
      </c>
    </row>
    <row r="246">
      <c r="A246" t="inlineStr">
        <is>
          <t>ORD0245</t>
        </is>
      </c>
      <c r="B246" s="5" t="n">
        <v>45946</v>
      </c>
      <c r="C246" t="inlineStr">
        <is>
          <t>CUST1047</t>
        </is>
      </c>
      <c r="D246" t="inlineStr">
        <is>
          <t>P1012</t>
        </is>
      </c>
      <c r="E246" t="inlineStr">
        <is>
          <t>Whiteboard</t>
        </is>
      </c>
      <c r="F246" t="inlineStr">
        <is>
          <t>Stationery</t>
        </is>
      </c>
      <c r="G246" t="inlineStr">
        <is>
          <t>East</t>
        </is>
      </c>
      <c r="H246" t="inlineStr">
        <is>
          <t>Marketplace</t>
        </is>
      </c>
      <c r="I246" t="inlineStr">
        <is>
          <t>Rohan</t>
        </is>
      </c>
      <c r="J246" t="n">
        <v>1</v>
      </c>
      <c r="K246" s="6" t="n">
        <v>59</v>
      </c>
      <c r="L246" s="7" t="n">
        <v>0</v>
      </c>
      <c r="M246" t="inlineStr">
        <is>
          <t>Completed</t>
        </is>
      </c>
    </row>
    <row r="247">
      <c r="A247" t="inlineStr">
        <is>
          <t>ORD0246</t>
        </is>
      </c>
      <c r="B247" s="5" t="n">
        <v>45815</v>
      </c>
      <c r="C247" t="inlineStr">
        <is>
          <t>CUST1003</t>
        </is>
      </c>
      <c r="D247" t="inlineStr">
        <is>
          <t>P1010</t>
        </is>
      </c>
      <c r="E247" t="inlineStr">
        <is>
          <t>Notebook Pack</t>
        </is>
      </c>
      <c r="F247" t="inlineStr">
        <is>
          <t>Stationery</t>
        </is>
      </c>
      <c r="G247" t="inlineStr">
        <is>
          <t>Central</t>
        </is>
      </c>
      <c r="H247" t="inlineStr">
        <is>
          <t>In-store</t>
        </is>
      </c>
      <c r="I247" t="inlineStr">
        <is>
          <t>Meera</t>
        </is>
      </c>
      <c r="J247" t="n">
        <v>4</v>
      </c>
      <c r="K247" s="6" t="n">
        <v>10</v>
      </c>
      <c r="L247" s="7" t="n">
        <v>0.2</v>
      </c>
      <c r="M247" t="inlineStr">
        <is>
          <t>Completed</t>
        </is>
      </c>
    </row>
    <row r="248">
      <c r="A248" t="inlineStr">
        <is>
          <t>ORD0247</t>
        </is>
      </c>
      <c r="B248" s="5" t="n">
        <v>45684</v>
      </c>
      <c r="C248" t="inlineStr">
        <is>
          <t>CUST1067</t>
        </is>
      </c>
      <c r="D248" t="inlineStr">
        <is>
          <t>P1012</t>
        </is>
      </c>
      <c r="E248" t="inlineStr">
        <is>
          <t>Whiteboard</t>
        </is>
      </c>
      <c r="F248" t="inlineStr">
        <is>
          <t>Stationery</t>
        </is>
      </c>
      <c r="G248" t="inlineStr">
        <is>
          <t>Central</t>
        </is>
      </c>
      <c r="H248" t="inlineStr">
        <is>
          <t>In-store</t>
        </is>
      </c>
      <c r="I248" t="inlineStr">
        <is>
          <t>Meera</t>
        </is>
      </c>
      <c r="J248" t="n">
        <v>3</v>
      </c>
      <c r="K248" s="6" t="n">
        <v>59</v>
      </c>
      <c r="L248" s="7" t="n">
        <v>0</v>
      </c>
      <c r="M248" t="inlineStr">
        <is>
          <t>Completed</t>
        </is>
      </c>
    </row>
    <row r="249">
      <c r="A249" t="inlineStr">
        <is>
          <t>ORD0248</t>
        </is>
      </c>
      <c r="B249" s="5" t="n">
        <v>45951</v>
      </c>
      <c r="C249" t="inlineStr">
        <is>
          <t>CUST1024</t>
        </is>
      </c>
      <c r="D249" t="inlineStr">
        <is>
          <t>P1001</t>
        </is>
      </c>
      <c r="E249" t="inlineStr">
        <is>
          <t>Laptop Pro 14</t>
        </is>
      </c>
      <c r="F249" t="inlineStr">
        <is>
          <t>Electronics</t>
        </is>
      </c>
      <c r="G249" t="inlineStr">
        <is>
          <t>North</t>
        </is>
      </c>
      <c r="H249" t="inlineStr">
        <is>
          <t>In-store</t>
        </is>
      </c>
      <c r="I249" t="inlineStr">
        <is>
          <t>Ishaan</t>
        </is>
      </c>
      <c r="J249" t="n">
        <v>8</v>
      </c>
      <c r="K249" s="6" t="n">
        <v>1150</v>
      </c>
      <c r="L249" s="7" t="n">
        <v>0</v>
      </c>
      <c r="M249" t="inlineStr">
        <is>
          <t>Completed</t>
        </is>
      </c>
    </row>
    <row r="250">
      <c r="A250" t="inlineStr">
        <is>
          <t>ORD0249</t>
        </is>
      </c>
      <c r="B250" s="5" t="n">
        <v>46011</v>
      </c>
      <c r="C250" t="inlineStr">
        <is>
          <t>CUST1078</t>
        </is>
      </c>
      <c r="D250" t="inlineStr">
        <is>
          <t>P1007</t>
        </is>
      </c>
      <c r="E250" t="inlineStr">
        <is>
          <t>Office Chair</t>
        </is>
      </c>
      <c r="F250" t="inlineStr">
        <is>
          <t>Furniture</t>
        </is>
      </c>
      <c r="G250" t="inlineStr">
        <is>
          <t>West</t>
        </is>
      </c>
      <c r="H250" t="inlineStr">
        <is>
          <t>Marketplace</t>
        </is>
      </c>
      <c r="I250" t="inlineStr">
        <is>
          <t>Ishaan</t>
        </is>
      </c>
      <c r="J250" t="n">
        <v>1</v>
      </c>
      <c r="K250" s="6" t="n">
        <v>179</v>
      </c>
      <c r="L250" s="7" t="n">
        <v>0.15</v>
      </c>
      <c r="M250" t="inlineStr">
        <is>
          <t>Completed</t>
        </is>
      </c>
    </row>
    <row r="251">
      <c r="A251" t="inlineStr">
        <is>
          <t>ORD0250</t>
        </is>
      </c>
      <c r="B251" s="5" t="n">
        <v>45764</v>
      </c>
      <c r="C251" t="inlineStr">
        <is>
          <t>CUST1061</t>
        </is>
      </c>
      <c r="D251" t="inlineStr">
        <is>
          <t>P1009</t>
        </is>
      </c>
      <c r="E251" t="inlineStr">
        <is>
          <t>Desk Lamp</t>
        </is>
      </c>
      <c r="F251" t="inlineStr">
        <is>
          <t>Furniture</t>
        </is>
      </c>
      <c r="G251" t="inlineStr">
        <is>
          <t>Central</t>
        </is>
      </c>
      <c r="H251" t="inlineStr">
        <is>
          <t>In-store</t>
        </is>
      </c>
      <c r="I251" t="inlineStr">
        <is>
          <t>Ishaan</t>
        </is>
      </c>
      <c r="J251" t="n">
        <v>2</v>
      </c>
      <c r="K251" s="6" t="n">
        <v>39</v>
      </c>
      <c r="L251" s="7" t="n">
        <v>0.2</v>
      </c>
      <c r="M251" t="inlineStr">
        <is>
          <t>Completed</t>
        </is>
      </c>
    </row>
    <row r="252">
      <c r="A252" t="inlineStr">
        <is>
          <t>ORD0251</t>
        </is>
      </c>
      <c r="B252" s="5" t="n">
        <v>45930</v>
      </c>
      <c r="C252" t="inlineStr">
        <is>
          <t>CUST1033</t>
        </is>
      </c>
      <c r="D252" t="inlineStr">
        <is>
          <t>P1008</t>
        </is>
      </c>
      <c r="E252" t="inlineStr">
        <is>
          <t>Standing Desk</t>
        </is>
      </c>
      <c r="F252" t="inlineStr">
        <is>
          <t>Furniture</t>
        </is>
      </c>
      <c r="G252" t="inlineStr">
        <is>
          <t>Central</t>
        </is>
      </c>
      <c r="H252" t="inlineStr">
        <is>
          <t>In-store</t>
        </is>
      </c>
      <c r="I252" t="inlineStr">
        <is>
          <t>Meera</t>
        </is>
      </c>
      <c r="J252" t="n">
        <v>2</v>
      </c>
      <c r="K252" s="6" t="n">
        <v>379</v>
      </c>
      <c r="L252" s="7" t="n">
        <v>0.05</v>
      </c>
      <c r="M252" t="inlineStr">
        <is>
          <t>Completed</t>
        </is>
      </c>
    </row>
    <row r="253">
      <c r="A253" t="inlineStr">
        <is>
          <t>ORD0252</t>
        </is>
      </c>
      <c r="B253" s="5" t="n">
        <v>45943</v>
      </c>
      <c r="C253" t="inlineStr">
        <is>
          <t>CUST1036</t>
        </is>
      </c>
      <c r="D253" t="inlineStr">
        <is>
          <t>P1005</t>
        </is>
      </c>
      <c r="E253" t="inlineStr">
        <is>
          <t>Monitor 27 inch</t>
        </is>
      </c>
      <c r="F253" t="inlineStr">
        <is>
          <t>Electronics</t>
        </is>
      </c>
      <c r="G253" t="inlineStr">
        <is>
          <t>South</t>
        </is>
      </c>
      <c r="H253" t="inlineStr">
        <is>
          <t>Marketplace</t>
        </is>
      </c>
      <c r="I253" t="inlineStr">
        <is>
          <t>Anaya</t>
        </is>
      </c>
      <c r="J253" t="n">
        <v>1</v>
      </c>
      <c r="K253" s="6" t="n">
        <v>299</v>
      </c>
      <c r="L253" s="7" t="n">
        <v>0.05</v>
      </c>
      <c r="M253" t="inlineStr">
        <is>
          <t>Completed</t>
        </is>
      </c>
    </row>
    <row r="254">
      <c r="A254" t="inlineStr">
        <is>
          <t>ORD0253</t>
        </is>
      </c>
      <c r="B254" s="5" t="n">
        <v>45836</v>
      </c>
      <c r="C254" t="inlineStr">
        <is>
          <t>CUST1035</t>
        </is>
      </c>
      <c r="D254" t="inlineStr">
        <is>
          <t>P1008</t>
        </is>
      </c>
      <c r="E254" t="inlineStr">
        <is>
          <t>Standing Desk</t>
        </is>
      </c>
      <c r="F254" t="inlineStr">
        <is>
          <t>Furniture</t>
        </is>
      </c>
      <c r="G254" t="inlineStr">
        <is>
          <t>East</t>
        </is>
      </c>
      <c r="H254" t="inlineStr">
        <is>
          <t>Online</t>
        </is>
      </c>
      <c r="I254" t="inlineStr">
        <is>
          <t>Rohan</t>
        </is>
      </c>
      <c r="J254" t="n">
        <v>2</v>
      </c>
      <c r="K254" s="6" t="n">
        <v>379</v>
      </c>
      <c r="L254" s="7" t="n">
        <v>0.2</v>
      </c>
      <c r="M254" t="inlineStr">
        <is>
          <t>Completed</t>
        </is>
      </c>
    </row>
    <row r="255">
      <c r="A255" t="inlineStr">
        <is>
          <t>ORD0254</t>
        </is>
      </c>
      <c r="B255" s="5" t="n">
        <v>45860</v>
      </c>
      <c r="C255" t="inlineStr">
        <is>
          <t>CUST1037</t>
        </is>
      </c>
      <c r="D255" t="inlineStr">
        <is>
          <t>P1015</t>
        </is>
      </c>
      <c r="E255" t="inlineStr">
        <is>
          <t>Phone Stand</t>
        </is>
      </c>
      <c r="F255" t="inlineStr">
        <is>
          <t>Accessories</t>
        </is>
      </c>
      <c r="G255" t="inlineStr">
        <is>
          <t>North</t>
        </is>
      </c>
      <c r="H255" t="inlineStr">
        <is>
          <t>In-store</t>
        </is>
      </c>
      <c r="I255" t="inlineStr">
        <is>
          <t>Diya</t>
        </is>
      </c>
      <c r="J255" t="n">
        <v>4</v>
      </c>
      <c r="K255" s="6" t="n">
        <v>16</v>
      </c>
      <c r="L255" s="7" t="n">
        <v>0</v>
      </c>
      <c r="M255" t="inlineStr">
        <is>
          <t>Returned</t>
        </is>
      </c>
    </row>
    <row r="256">
      <c r="A256" t="inlineStr">
        <is>
          <t>ORD0255</t>
        </is>
      </c>
      <c r="B256" s="5" t="n">
        <v>45884</v>
      </c>
      <c r="C256" t="inlineStr">
        <is>
          <t>CUST1061</t>
        </is>
      </c>
      <c r="D256" t="inlineStr">
        <is>
          <t>P1006</t>
        </is>
      </c>
      <c r="E256" t="inlineStr">
        <is>
          <t>Webcam HD</t>
        </is>
      </c>
      <c r="F256" t="inlineStr">
        <is>
          <t>Electronics</t>
        </is>
      </c>
      <c r="G256" t="inlineStr">
        <is>
          <t>South</t>
        </is>
      </c>
      <c r="H256" t="inlineStr">
        <is>
          <t>Online</t>
        </is>
      </c>
      <c r="I256" t="inlineStr">
        <is>
          <t>Kabir</t>
        </is>
      </c>
      <c r="J256" t="n">
        <v>3</v>
      </c>
      <c r="K256" s="6" t="n">
        <v>69</v>
      </c>
      <c r="L256" s="7" t="n">
        <v>0.2</v>
      </c>
      <c r="M256" t="inlineStr">
        <is>
          <t>Completed</t>
        </is>
      </c>
    </row>
    <row r="257">
      <c r="A257" t="inlineStr">
        <is>
          <t>ORD0256</t>
        </is>
      </c>
      <c r="B257" s="5" t="n">
        <v>45945</v>
      </c>
      <c r="C257" t="inlineStr">
        <is>
          <t>CUST1013</t>
        </is>
      </c>
      <c r="D257" t="inlineStr">
        <is>
          <t>P1015</t>
        </is>
      </c>
      <c r="E257" t="inlineStr">
        <is>
          <t>Phone Stand</t>
        </is>
      </c>
      <c r="F257" t="inlineStr">
        <is>
          <t>Accessories</t>
        </is>
      </c>
      <c r="G257" t="inlineStr">
        <is>
          <t>Central</t>
        </is>
      </c>
      <c r="H257" t="inlineStr">
        <is>
          <t>Marketplace</t>
        </is>
      </c>
      <c r="I257" t="inlineStr">
        <is>
          <t>Meera</t>
        </is>
      </c>
      <c r="J257" t="n">
        <v>3</v>
      </c>
      <c r="K257" s="6" t="n">
        <v>16</v>
      </c>
      <c r="L257" s="7" t="n">
        <v>0</v>
      </c>
      <c r="M257" t="inlineStr">
        <is>
          <t>Completed</t>
        </is>
      </c>
    </row>
    <row r="258">
      <c r="A258" t="inlineStr">
        <is>
          <t>ORD0257</t>
        </is>
      </c>
      <c r="B258" s="5" t="n">
        <v>46000</v>
      </c>
      <c r="C258" t="inlineStr">
        <is>
          <t>CUST1029</t>
        </is>
      </c>
      <c r="D258" t="inlineStr">
        <is>
          <t>P1001</t>
        </is>
      </c>
      <c r="E258" t="inlineStr">
        <is>
          <t>Laptop Pro 14</t>
        </is>
      </c>
      <c r="F258" t="inlineStr">
        <is>
          <t>Electronics</t>
        </is>
      </c>
      <c r="G258" t="inlineStr">
        <is>
          <t>North</t>
        </is>
      </c>
      <c r="H258" t="inlineStr">
        <is>
          <t>Online</t>
        </is>
      </c>
      <c r="I258" t="inlineStr">
        <is>
          <t>Sara</t>
        </is>
      </c>
      <c r="J258" t="n">
        <v>5</v>
      </c>
      <c r="K258" s="6" t="n">
        <v>1150</v>
      </c>
      <c r="L258" s="7" t="n">
        <v>0</v>
      </c>
      <c r="M258" t="inlineStr">
        <is>
          <t>Completed</t>
        </is>
      </c>
    </row>
    <row r="259">
      <c r="A259" t="inlineStr">
        <is>
          <t>ORD0258</t>
        </is>
      </c>
      <c r="B259" s="5" t="n">
        <v>46006</v>
      </c>
      <c r="C259" t="inlineStr">
        <is>
          <t>CUST1070</t>
        </is>
      </c>
      <c r="D259" t="inlineStr">
        <is>
          <t>P1002</t>
        </is>
      </c>
      <c r="E259" t="inlineStr">
        <is>
          <t>Wireless Mouse</t>
        </is>
      </c>
      <c r="F259" t="inlineStr">
        <is>
          <t>Electronics</t>
        </is>
      </c>
      <c r="G259" t="inlineStr">
        <is>
          <t>South</t>
        </is>
      </c>
      <c r="H259" t="inlineStr">
        <is>
          <t>In-store</t>
        </is>
      </c>
      <c r="I259" t="inlineStr">
        <is>
          <t>Sara</t>
        </is>
      </c>
      <c r="J259" t="n">
        <v>4</v>
      </c>
      <c r="K259" s="6" t="n">
        <v>25</v>
      </c>
      <c r="L259" s="7" t="n">
        <v>0</v>
      </c>
      <c r="M259" t="inlineStr">
        <is>
          <t>Completed</t>
        </is>
      </c>
    </row>
    <row r="260">
      <c r="A260" t="inlineStr">
        <is>
          <t>ORD0259</t>
        </is>
      </c>
      <c r="B260" s="5" t="n">
        <v>45991</v>
      </c>
      <c r="C260" t="inlineStr">
        <is>
          <t>CUST1041</t>
        </is>
      </c>
      <c r="D260" t="inlineStr">
        <is>
          <t>P1008</t>
        </is>
      </c>
      <c r="E260" t="inlineStr">
        <is>
          <t>Standing Desk</t>
        </is>
      </c>
      <c r="F260" t="inlineStr">
        <is>
          <t>Furniture</t>
        </is>
      </c>
      <c r="G260" t="inlineStr">
        <is>
          <t>East</t>
        </is>
      </c>
      <c r="H260" t="inlineStr">
        <is>
          <t>Marketplace</t>
        </is>
      </c>
      <c r="I260" t="inlineStr">
        <is>
          <t>Diya</t>
        </is>
      </c>
      <c r="J260" t="n">
        <v>1</v>
      </c>
      <c r="K260" s="6" t="n">
        <v>379</v>
      </c>
      <c r="L260" s="7" t="n">
        <v>0.05</v>
      </c>
      <c r="M260" t="inlineStr">
        <is>
          <t>Completed</t>
        </is>
      </c>
    </row>
    <row r="261">
      <c r="A261" t="inlineStr">
        <is>
          <t>ORD0260</t>
        </is>
      </c>
      <c r="B261" s="5" t="n">
        <v>45951</v>
      </c>
      <c r="C261" t="inlineStr">
        <is>
          <t>CUST1004</t>
        </is>
      </c>
      <c r="D261" t="inlineStr">
        <is>
          <t>P1011</t>
        </is>
      </c>
      <c r="E261" t="inlineStr">
        <is>
          <t>Pen Set</t>
        </is>
      </c>
      <c r="F261" t="inlineStr">
        <is>
          <t>Stationery</t>
        </is>
      </c>
      <c r="G261" t="inlineStr">
        <is>
          <t>South</t>
        </is>
      </c>
      <c r="H261" t="inlineStr">
        <is>
          <t>In-store</t>
        </is>
      </c>
      <c r="I261" t="inlineStr">
        <is>
          <t>Ishaan</t>
        </is>
      </c>
      <c r="J261" t="n">
        <v>1</v>
      </c>
      <c r="K261" s="6" t="n">
        <v>8</v>
      </c>
      <c r="L261" s="7" t="n">
        <v>0.2</v>
      </c>
      <c r="M261" t="inlineStr">
        <is>
          <t>Pending</t>
        </is>
      </c>
    </row>
    <row r="262">
      <c r="A262" t="inlineStr">
        <is>
          <t>ORD0261</t>
        </is>
      </c>
      <c r="B262" s="5" t="n">
        <v>45676</v>
      </c>
      <c r="C262" t="inlineStr">
        <is>
          <t>CUST1063</t>
        </is>
      </c>
      <c r="D262" t="inlineStr">
        <is>
          <t>P1015</t>
        </is>
      </c>
      <c r="E262" t="inlineStr">
        <is>
          <t>Phone Stand</t>
        </is>
      </c>
      <c r="F262" t="inlineStr">
        <is>
          <t>Accessories</t>
        </is>
      </c>
      <c r="G262" t="inlineStr">
        <is>
          <t>South</t>
        </is>
      </c>
      <c r="H262" t="inlineStr">
        <is>
          <t>Marketplace</t>
        </is>
      </c>
      <c r="I262" t="inlineStr">
        <is>
          <t>Kabir</t>
        </is>
      </c>
      <c r="J262" t="n">
        <v>10</v>
      </c>
      <c r="K262" s="6" t="n">
        <v>16</v>
      </c>
      <c r="L262" s="7" t="n">
        <v>0.1</v>
      </c>
      <c r="M262" t="inlineStr">
        <is>
          <t>Returned</t>
        </is>
      </c>
    </row>
    <row r="263">
      <c r="A263" t="inlineStr">
        <is>
          <t>ORD0262</t>
        </is>
      </c>
      <c r="B263" s="5" t="n">
        <v>45677</v>
      </c>
      <c r="C263" t="inlineStr">
        <is>
          <t>CUST1077</t>
        </is>
      </c>
      <c r="D263" t="inlineStr">
        <is>
          <t>P1015</t>
        </is>
      </c>
      <c r="E263" t="inlineStr">
        <is>
          <t>Phone Stand</t>
        </is>
      </c>
      <c r="F263" t="inlineStr">
        <is>
          <t>Accessories</t>
        </is>
      </c>
      <c r="G263" t="inlineStr">
        <is>
          <t>North</t>
        </is>
      </c>
      <c r="H263" t="inlineStr">
        <is>
          <t>In-store</t>
        </is>
      </c>
      <c r="I263" t="inlineStr">
        <is>
          <t>Sara</t>
        </is>
      </c>
      <c r="J263" t="n">
        <v>1</v>
      </c>
      <c r="K263" s="6" t="n">
        <v>16</v>
      </c>
      <c r="L263" s="7" t="n">
        <v>0.15</v>
      </c>
      <c r="M263" t="inlineStr">
        <is>
          <t>Completed</t>
        </is>
      </c>
    </row>
    <row r="264">
      <c r="A264" t="inlineStr">
        <is>
          <t>ORD0263</t>
        </is>
      </c>
      <c r="B264" s="5" t="n">
        <v>45726</v>
      </c>
      <c r="C264" t="inlineStr">
        <is>
          <t>CUST1034</t>
        </is>
      </c>
      <c r="D264" t="inlineStr">
        <is>
          <t>P1015</t>
        </is>
      </c>
      <c r="E264" t="inlineStr">
        <is>
          <t>Phone Stand</t>
        </is>
      </c>
      <c r="F264" t="inlineStr">
        <is>
          <t>Accessories</t>
        </is>
      </c>
      <c r="G264" t="inlineStr">
        <is>
          <t>South</t>
        </is>
      </c>
      <c r="H264" t="inlineStr">
        <is>
          <t>Online</t>
        </is>
      </c>
      <c r="I264" t="inlineStr">
        <is>
          <t>Sara</t>
        </is>
      </c>
      <c r="J264" t="n">
        <v>4</v>
      </c>
      <c r="K264" s="6" t="n">
        <v>16</v>
      </c>
      <c r="L264" s="7" t="n">
        <v>0.1</v>
      </c>
      <c r="M264" t="inlineStr">
        <is>
          <t>Completed</t>
        </is>
      </c>
    </row>
    <row r="265">
      <c r="A265" t="inlineStr">
        <is>
          <t>ORD0264</t>
        </is>
      </c>
      <c r="B265" s="5" t="n">
        <v>45789</v>
      </c>
      <c r="C265" t="inlineStr">
        <is>
          <t>CUST1043</t>
        </is>
      </c>
      <c r="D265" t="inlineStr">
        <is>
          <t>P1011</t>
        </is>
      </c>
      <c r="E265" t="inlineStr">
        <is>
          <t>Pen Set</t>
        </is>
      </c>
      <c r="F265" t="inlineStr">
        <is>
          <t>Stationery</t>
        </is>
      </c>
      <c r="G265" t="inlineStr">
        <is>
          <t>East</t>
        </is>
      </c>
      <c r="H265" t="inlineStr">
        <is>
          <t>Marketplace</t>
        </is>
      </c>
      <c r="I265" t="inlineStr">
        <is>
          <t>Meera</t>
        </is>
      </c>
      <c r="J265" t="n">
        <v>3</v>
      </c>
      <c r="K265" s="6" t="n">
        <v>8</v>
      </c>
      <c r="L265" s="7" t="n">
        <v>0</v>
      </c>
      <c r="M265" t="inlineStr">
        <is>
          <t>Completed</t>
        </is>
      </c>
    </row>
    <row r="266">
      <c r="A266" t="inlineStr">
        <is>
          <t>ORD0265</t>
        </is>
      </c>
      <c r="B266" s="5" t="n">
        <v>45970</v>
      </c>
      <c r="C266" t="inlineStr">
        <is>
          <t>CUST1054</t>
        </is>
      </c>
      <c r="D266" t="inlineStr">
        <is>
          <t>P1003</t>
        </is>
      </c>
      <c r="E266" t="inlineStr">
        <is>
          <t>Mechanical Keyboard</t>
        </is>
      </c>
      <c r="F266" t="inlineStr">
        <is>
          <t>Electronics</t>
        </is>
      </c>
      <c r="G266" t="inlineStr">
        <is>
          <t>Central</t>
        </is>
      </c>
      <c r="H266" t="inlineStr">
        <is>
          <t>In-store</t>
        </is>
      </c>
      <c r="I266" t="inlineStr">
        <is>
          <t>Diya</t>
        </is>
      </c>
      <c r="J266" t="n">
        <v>4</v>
      </c>
      <c r="K266" s="6" t="n">
        <v>75</v>
      </c>
      <c r="L266" s="7" t="n">
        <v>0.1</v>
      </c>
      <c r="M266" t="inlineStr">
        <is>
          <t>Completed</t>
        </is>
      </c>
    </row>
    <row r="267">
      <c r="A267" t="inlineStr">
        <is>
          <t>ORD0266</t>
        </is>
      </c>
      <c r="B267" s="5" t="n">
        <v>45729</v>
      </c>
      <c r="C267" t="inlineStr">
        <is>
          <t>CUST1000</t>
        </is>
      </c>
      <c r="D267" t="inlineStr">
        <is>
          <t>P1003</t>
        </is>
      </c>
      <c r="E267" t="inlineStr">
        <is>
          <t>Mechanical Keyboard</t>
        </is>
      </c>
      <c r="F267" t="inlineStr">
        <is>
          <t>Electronics</t>
        </is>
      </c>
      <c r="G267" t="inlineStr">
        <is>
          <t>East</t>
        </is>
      </c>
      <c r="H267" t="inlineStr">
        <is>
          <t>In-store</t>
        </is>
      </c>
      <c r="I267" t="inlineStr">
        <is>
          <t>Kabir</t>
        </is>
      </c>
      <c r="J267" t="n">
        <v>2</v>
      </c>
      <c r="K267" s="6" t="n">
        <v>75</v>
      </c>
      <c r="L267" s="7" t="n">
        <v>0</v>
      </c>
      <c r="M267" t="inlineStr">
        <is>
          <t>Completed</t>
        </is>
      </c>
    </row>
    <row r="268">
      <c r="A268" t="inlineStr">
        <is>
          <t>ORD0267</t>
        </is>
      </c>
      <c r="B268" s="5" t="n">
        <v>45812</v>
      </c>
      <c r="C268" t="inlineStr">
        <is>
          <t>CUST1001</t>
        </is>
      </c>
      <c r="D268" t="inlineStr">
        <is>
          <t>P1006</t>
        </is>
      </c>
      <c r="E268" t="inlineStr">
        <is>
          <t>Webcam HD</t>
        </is>
      </c>
      <c r="F268" t="inlineStr">
        <is>
          <t>Electronics</t>
        </is>
      </c>
      <c r="G268" t="inlineStr">
        <is>
          <t>East</t>
        </is>
      </c>
      <c r="H268" t="inlineStr">
        <is>
          <t>Marketplace</t>
        </is>
      </c>
      <c r="I268" t="inlineStr">
        <is>
          <t>Meera</t>
        </is>
      </c>
      <c r="J268" t="n">
        <v>3</v>
      </c>
      <c r="K268" s="6" t="n">
        <v>69</v>
      </c>
      <c r="L268" s="7" t="n">
        <v>0.15</v>
      </c>
      <c r="M268" t="inlineStr">
        <is>
          <t>Completed</t>
        </is>
      </c>
    </row>
    <row r="269">
      <c r="A269" t="inlineStr">
        <is>
          <t>ORD0268</t>
        </is>
      </c>
      <c r="B269" s="5" t="n">
        <v>45999</v>
      </c>
      <c r="C269" t="inlineStr">
        <is>
          <t>CUST1020</t>
        </is>
      </c>
      <c r="D269" t="inlineStr">
        <is>
          <t>P1001</t>
        </is>
      </c>
      <c r="E269" t="inlineStr">
        <is>
          <t>Laptop Pro 14</t>
        </is>
      </c>
      <c r="F269" t="inlineStr">
        <is>
          <t>Electronics</t>
        </is>
      </c>
      <c r="G269" t="inlineStr">
        <is>
          <t>West</t>
        </is>
      </c>
      <c r="H269" t="inlineStr">
        <is>
          <t>Marketplace</t>
        </is>
      </c>
      <c r="I269" t="inlineStr">
        <is>
          <t>Kabir</t>
        </is>
      </c>
      <c r="J269" t="n">
        <v>1</v>
      </c>
      <c r="K269" s="6" t="n">
        <v>1150</v>
      </c>
      <c r="L269" s="7" t="n">
        <v>0.05</v>
      </c>
      <c r="M269" t="inlineStr">
        <is>
          <t>Completed</t>
        </is>
      </c>
    </row>
    <row r="270">
      <c r="A270" t="inlineStr">
        <is>
          <t>ORD0269</t>
        </is>
      </c>
      <c r="B270" s="5" t="n">
        <v>45718</v>
      </c>
      <c r="C270" t="inlineStr">
        <is>
          <t>CUST1047</t>
        </is>
      </c>
      <c r="D270" t="inlineStr">
        <is>
          <t>P1012</t>
        </is>
      </c>
      <c r="E270" t="inlineStr">
        <is>
          <t>Whiteboard</t>
        </is>
      </c>
      <c r="F270" t="inlineStr">
        <is>
          <t>Stationery</t>
        </is>
      </c>
      <c r="G270" t="inlineStr">
        <is>
          <t>Central</t>
        </is>
      </c>
      <c r="H270" t="inlineStr">
        <is>
          <t>Online</t>
        </is>
      </c>
      <c r="I270" t="inlineStr">
        <is>
          <t>Ishaan</t>
        </is>
      </c>
      <c r="J270" t="n">
        <v>3</v>
      </c>
      <c r="K270" s="6" t="n">
        <v>59</v>
      </c>
      <c r="L270" s="7" t="n">
        <v>0.05</v>
      </c>
      <c r="M270" t="inlineStr">
        <is>
          <t>Completed</t>
        </is>
      </c>
    </row>
    <row r="271">
      <c r="A271" t="inlineStr">
        <is>
          <t>ORD0270</t>
        </is>
      </c>
      <c r="B271" s="5" t="n">
        <v>45736</v>
      </c>
      <c r="C271" t="inlineStr">
        <is>
          <t>CUST1047</t>
        </is>
      </c>
      <c r="D271" t="inlineStr">
        <is>
          <t>P1008</t>
        </is>
      </c>
      <c r="E271" t="inlineStr">
        <is>
          <t>Standing Desk</t>
        </is>
      </c>
      <c r="F271" t="inlineStr">
        <is>
          <t>Furniture</t>
        </is>
      </c>
      <c r="G271" t="inlineStr">
        <is>
          <t>West</t>
        </is>
      </c>
      <c r="H271" t="inlineStr">
        <is>
          <t>Marketplace</t>
        </is>
      </c>
      <c r="I271" t="inlineStr">
        <is>
          <t>Sara</t>
        </is>
      </c>
      <c r="J271" t="n">
        <v>2</v>
      </c>
      <c r="K271" s="6" t="n">
        <v>379</v>
      </c>
      <c r="L271" s="7" t="n">
        <v>0.15</v>
      </c>
      <c r="M271" t="inlineStr">
        <is>
          <t>Completed</t>
        </is>
      </c>
    </row>
    <row r="272">
      <c r="A272" t="inlineStr">
        <is>
          <t>ORD0271</t>
        </is>
      </c>
      <c r="B272" s="5" t="n">
        <v>45933</v>
      </c>
      <c r="C272" t="inlineStr">
        <is>
          <t>CUST1031</t>
        </is>
      </c>
      <c r="D272" t="inlineStr">
        <is>
          <t>P1013</t>
        </is>
      </c>
      <c r="E272" t="inlineStr">
        <is>
          <t>Water Bottle</t>
        </is>
      </c>
      <c r="F272" t="inlineStr">
        <is>
          <t>Accessories</t>
        </is>
      </c>
      <c r="G272" t="inlineStr">
        <is>
          <t>Central</t>
        </is>
      </c>
      <c r="H272" t="inlineStr">
        <is>
          <t>Online</t>
        </is>
      </c>
      <c r="I272" t="inlineStr">
        <is>
          <t>Anaya</t>
        </is>
      </c>
      <c r="J272" t="n">
        <v>4</v>
      </c>
      <c r="K272" s="6" t="n">
        <v>18</v>
      </c>
      <c r="L272" s="7" t="n">
        <v>0</v>
      </c>
      <c r="M272" t="inlineStr">
        <is>
          <t>Completed</t>
        </is>
      </c>
    </row>
    <row r="273">
      <c r="A273" t="inlineStr">
        <is>
          <t>ORD0272</t>
        </is>
      </c>
      <c r="B273" s="5" t="n">
        <v>45946</v>
      </c>
      <c r="C273" t="inlineStr">
        <is>
          <t>CUST1064</t>
        </is>
      </c>
      <c r="D273" t="inlineStr">
        <is>
          <t>P1002</t>
        </is>
      </c>
      <c r="E273" t="inlineStr">
        <is>
          <t>Wireless Mouse</t>
        </is>
      </c>
      <c r="F273" t="inlineStr">
        <is>
          <t>Electronics</t>
        </is>
      </c>
      <c r="G273" t="inlineStr">
        <is>
          <t>South</t>
        </is>
      </c>
      <c r="H273" t="inlineStr">
        <is>
          <t>Marketplace</t>
        </is>
      </c>
      <c r="I273" t="inlineStr">
        <is>
          <t>Ishaan</t>
        </is>
      </c>
      <c r="J273" t="n">
        <v>1</v>
      </c>
      <c r="K273" s="6" t="n">
        <v>25</v>
      </c>
      <c r="L273" s="7" t="n">
        <v>0.15</v>
      </c>
      <c r="M273" t="inlineStr">
        <is>
          <t>Completed</t>
        </is>
      </c>
    </row>
    <row r="274">
      <c r="A274" t="inlineStr">
        <is>
          <t>ORD0273</t>
        </is>
      </c>
      <c r="B274" s="5" t="n">
        <v>45924</v>
      </c>
      <c r="C274" t="inlineStr">
        <is>
          <t>CUST1026</t>
        </is>
      </c>
      <c r="D274" t="inlineStr">
        <is>
          <t>P1006</t>
        </is>
      </c>
      <c r="E274" t="inlineStr">
        <is>
          <t>Webcam HD</t>
        </is>
      </c>
      <c r="F274" t="inlineStr">
        <is>
          <t>Electronics</t>
        </is>
      </c>
      <c r="G274" t="inlineStr">
        <is>
          <t>Central</t>
        </is>
      </c>
      <c r="H274" t="inlineStr">
        <is>
          <t>In-store</t>
        </is>
      </c>
      <c r="I274" t="inlineStr">
        <is>
          <t>Sara</t>
        </is>
      </c>
      <c r="J274" t="n">
        <v>2</v>
      </c>
      <c r="K274" s="6" t="n">
        <v>69</v>
      </c>
      <c r="L274" s="7" t="n">
        <v>0.2</v>
      </c>
      <c r="M274" t="inlineStr">
        <is>
          <t>Completed</t>
        </is>
      </c>
    </row>
    <row r="275">
      <c r="A275" t="inlineStr">
        <is>
          <t>ORD0274</t>
        </is>
      </c>
      <c r="B275" s="5" t="n">
        <v>45686</v>
      </c>
      <c r="C275" t="inlineStr">
        <is>
          <t>CUST1053</t>
        </is>
      </c>
      <c r="D275" t="inlineStr">
        <is>
          <t>P1013</t>
        </is>
      </c>
      <c r="E275" t="inlineStr">
        <is>
          <t>Water Bottle</t>
        </is>
      </c>
      <c r="F275" t="inlineStr">
        <is>
          <t>Accessories</t>
        </is>
      </c>
      <c r="G275" t="inlineStr">
        <is>
          <t>West</t>
        </is>
      </c>
      <c r="H275" t="inlineStr">
        <is>
          <t>Marketplace</t>
        </is>
      </c>
      <c r="I275" t="inlineStr">
        <is>
          <t>Sara</t>
        </is>
      </c>
      <c r="J275" t="n">
        <v>2</v>
      </c>
      <c r="K275" s="6" t="n">
        <v>18</v>
      </c>
      <c r="L275" s="7" t="n">
        <v>0.15</v>
      </c>
      <c r="M275" t="inlineStr">
        <is>
          <t>Completed</t>
        </is>
      </c>
    </row>
    <row r="276">
      <c r="A276" t="inlineStr">
        <is>
          <t>ORD0275</t>
        </is>
      </c>
      <c r="B276" s="5" t="n">
        <v>45815</v>
      </c>
      <c r="C276" t="inlineStr">
        <is>
          <t>CUST1032</t>
        </is>
      </c>
      <c r="D276" t="inlineStr">
        <is>
          <t>P1011</t>
        </is>
      </c>
      <c r="E276" t="inlineStr">
        <is>
          <t>Pen Set</t>
        </is>
      </c>
      <c r="F276" t="inlineStr">
        <is>
          <t>Stationery</t>
        </is>
      </c>
      <c r="G276" t="inlineStr">
        <is>
          <t>North</t>
        </is>
      </c>
      <c r="H276" t="inlineStr">
        <is>
          <t>Marketplace</t>
        </is>
      </c>
      <c r="I276" t="inlineStr">
        <is>
          <t>Diya</t>
        </is>
      </c>
      <c r="J276" t="n">
        <v>3</v>
      </c>
      <c r="K276" s="6" t="n">
        <v>8</v>
      </c>
      <c r="L276" s="7" t="n">
        <v>0.1</v>
      </c>
      <c r="M276" t="inlineStr">
        <is>
          <t>Completed</t>
        </is>
      </c>
    </row>
    <row r="277">
      <c r="A277" t="inlineStr">
        <is>
          <t>ORD0276</t>
        </is>
      </c>
      <c r="B277" s="5" t="n">
        <v>45874</v>
      </c>
      <c r="C277" t="inlineStr">
        <is>
          <t>CUST1069</t>
        </is>
      </c>
      <c r="D277" t="inlineStr">
        <is>
          <t>P1001</t>
        </is>
      </c>
      <c r="E277" t="inlineStr">
        <is>
          <t>Laptop Pro 14</t>
        </is>
      </c>
      <c r="F277" t="inlineStr">
        <is>
          <t>Electronics</t>
        </is>
      </c>
      <c r="G277" t="inlineStr">
        <is>
          <t>North</t>
        </is>
      </c>
      <c r="H277" t="inlineStr">
        <is>
          <t>Online</t>
        </is>
      </c>
      <c r="I277" t="inlineStr">
        <is>
          <t>Sara</t>
        </is>
      </c>
      <c r="J277" t="n">
        <v>2</v>
      </c>
      <c r="K277" s="6" t="n">
        <v>1150</v>
      </c>
      <c r="L277" s="7" t="n">
        <v>0</v>
      </c>
      <c r="M277" t="inlineStr">
        <is>
          <t>Returned</t>
        </is>
      </c>
    </row>
    <row r="278">
      <c r="A278" t="inlineStr">
        <is>
          <t>ORD0277</t>
        </is>
      </c>
      <c r="B278" s="5" t="n">
        <v>45804</v>
      </c>
      <c r="C278" t="inlineStr">
        <is>
          <t>CUST1053</t>
        </is>
      </c>
      <c r="D278" t="inlineStr">
        <is>
          <t>P1001</t>
        </is>
      </c>
      <c r="E278" t="inlineStr">
        <is>
          <t>Laptop Pro 14</t>
        </is>
      </c>
      <c r="F278" t="inlineStr">
        <is>
          <t>Electronics</t>
        </is>
      </c>
      <c r="G278" t="inlineStr">
        <is>
          <t>East</t>
        </is>
      </c>
      <c r="H278" t="inlineStr">
        <is>
          <t>In-store</t>
        </is>
      </c>
      <c r="I278" t="inlineStr">
        <is>
          <t>Rohan</t>
        </is>
      </c>
      <c r="J278" t="n">
        <v>2</v>
      </c>
      <c r="K278" s="6" t="n">
        <v>1150</v>
      </c>
      <c r="L278" s="7" t="n">
        <v>0</v>
      </c>
      <c r="M278" t="inlineStr">
        <is>
          <t>Completed</t>
        </is>
      </c>
    </row>
    <row r="279">
      <c r="A279" t="inlineStr">
        <is>
          <t>ORD0278</t>
        </is>
      </c>
      <c r="B279" s="5" t="n">
        <v>45699</v>
      </c>
      <c r="C279" t="inlineStr">
        <is>
          <t>CUST1069</t>
        </is>
      </c>
      <c r="D279" t="inlineStr">
        <is>
          <t>P1007</t>
        </is>
      </c>
      <c r="E279" t="inlineStr">
        <is>
          <t>Office Chair</t>
        </is>
      </c>
      <c r="F279" t="inlineStr">
        <is>
          <t>Furniture</t>
        </is>
      </c>
      <c r="G279" t="inlineStr">
        <is>
          <t>South</t>
        </is>
      </c>
      <c r="H279" t="inlineStr">
        <is>
          <t>Marketplace</t>
        </is>
      </c>
      <c r="I279" t="inlineStr">
        <is>
          <t>Diya</t>
        </is>
      </c>
      <c r="J279" t="n">
        <v>3</v>
      </c>
      <c r="K279" s="6" t="n">
        <v>179</v>
      </c>
      <c r="L279" s="7" t="n">
        <v>0.2</v>
      </c>
      <c r="M279" t="inlineStr">
        <is>
          <t>Completed</t>
        </is>
      </c>
    </row>
    <row r="280">
      <c r="A280" t="inlineStr">
        <is>
          <t>ORD0279</t>
        </is>
      </c>
      <c r="B280" s="5" t="n">
        <v>45933</v>
      </c>
      <c r="C280" t="inlineStr">
        <is>
          <t>CUST1028</t>
        </is>
      </c>
      <c r="D280" t="inlineStr">
        <is>
          <t>P1003</t>
        </is>
      </c>
      <c r="E280" t="inlineStr">
        <is>
          <t>Mechanical Keyboard</t>
        </is>
      </c>
      <c r="F280" t="inlineStr">
        <is>
          <t>Electronics</t>
        </is>
      </c>
      <c r="G280" t="inlineStr">
        <is>
          <t>North</t>
        </is>
      </c>
      <c r="H280" t="inlineStr">
        <is>
          <t>Online</t>
        </is>
      </c>
      <c r="I280" t="inlineStr">
        <is>
          <t>Sara</t>
        </is>
      </c>
      <c r="J280" t="n">
        <v>2</v>
      </c>
      <c r="K280" s="6" t="n">
        <v>75</v>
      </c>
      <c r="L280" s="7" t="n">
        <v>0</v>
      </c>
      <c r="M280" t="inlineStr">
        <is>
          <t>Returned</t>
        </is>
      </c>
    </row>
    <row r="281">
      <c r="A281" t="inlineStr">
        <is>
          <t>ORD0280</t>
        </is>
      </c>
      <c r="B281" s="5" t="n">
        <v>45936</v>
      </c>
      <c r="C281" t="inlineStr">
        <is>
          <t>CUST1029</t>
        </is>
      </c>
      <c r="D281" t="inlineStr">
        <is>
          <t>P1011</t>
        </is>
      </c>
      <c r="E281" t="inlineStr">
        <is>
          <t>Pen Set</t>
        </is>
      </c>
      <c r="F281" t="inlineStr">
        <is>
          <t>Stationery</t>
        </is>
      </c>
      <c r="G281" t="inlineStr">
        <is>
          <t>South</t>
        </is>
      </c>
      <c r="H281" t="inlineStr">
        <is>
          <t>In-store</t>
        </is>
      </c>
      <c r="I281" t="inlineStr">
        <is>
          <t>Kabir</t>
        </is>
      </c>
      <c r="J281" t="n">
        <v>2</v>
      </c>
      <c r="K281" s="6" t="n">
        <v>8</v>
      </c>
      <c r="L281" s="7" t="n">
        <v>0.1</v>
      </c>
      <c r="M281" t="inlineStr">
        <is>
          <t>Completed</t>
        </is>
      </c>
    </row>
    <row r="282">
      <c r="A282" t="inlineStr">
        <is>
          <t>ORD0281</t>
        </is>
      </c>
      <c r="B282" s="5" t="n">
        <v>45715</v>
      </c>
      <c r="C282" t="inlineStr">
        <is>
          <t>CUST1053</t>
        </is>
      </c>
      <c r="D282" t="inlineStr">
        <is>
          <t>P1004</t>
        </is>
      </c>
      <c r="E282" t="inlineStr">
        <is>
          <t>USB-C Hub</t>
        </is>
      </c>
      <c r="F282" t="inlineStr">
        <is>
          <t>Electronics</t>
        </is>
      </c>
      <c r="G282" t="inlineStr">
        <is>
          <t>Central</t>
        </is>
      </c>
      <c r="H282" t="inlineStr">
        <is>
          <t>Online</t>
        </is>
      </c>
      <c r="I282" t="inlineStr">
        <is>
          <t>Diya</t>
        </is>
      </c>
      <c r="J282" t="n">
        <v>1</v>
      </c>
      <c r="K282" s="6" t="n">
        <v>49</v>
      </c>
      <c r="L282" s="7" t="n">
        <v>0.2</v>
      </c>
      <c r="M282" t="inlineStr">
        <is>
          <t>Completed</t>
        </is>
      </c>
    </row>
    <row r="283">
      <c r="A283" t="inlineStr">
        <is>
          <t>ORD0282</t>
        </is>
      </c>
      <c r="B283" s="5" t="n">
        <v>45962</v>
      </c>
      <c r="C283" t="inlineStr">
        <is>
          <t>CUST1006</t>
        </is>
      </c>
      <c r="D283" t="inlineStr">
        <is>
          <t>P1002</t>
        </is>
      </c>
      <c r="E283" t="inlineStr">
        <is>
          <t>Wireless Mouse</t>
        </is>
      </c>
      <c r="F283" t="inlineStr">
        <is>
          <t>Electronics</t>
        </is>
      </c>
      <c r="G283" t="inlineStr">
        <is>
          <t>South</t>
        </is>
      </c>
      <c r="H283" t="inlineStr">
        <is>
          <t>Marketplace</t>
        </is>
      </c>
      <c r="I283" t="inlineStr">
        <is>
          <t>Sara</t>
        </is>
      </c>
      <c r="J283" t="n">
        <v>1</v>
      </c>
      <c r="K283" s="6" t="n">
        <v>25</v>
      </c>
      <c r="L283" s="7" t="n">
        <v>0.15</v>
      </c>
      <c r="M283" t="inlineStr">
        <is>
          <t>Completed</t>
        </is>
      </c>
    </row>
    <row r="284">
      <c r="A284" t="inlineStr">
        <is>
          <t>ORD0283</t>
        </is>
      </c>
      <c r="B284" s="5" t="n">
        <v>45934</v>
      </c>
      <c r="C284" t="inlineStr">
        <is>
          <t>CUST1017</t>
        </is>
      </c>
      <c r="D284" t="inlineStr">
        <is>
          <t>P1004</t>
        </is>
      </c>
      <c r="E284" t="inlineStr">
        <is>
          <t>USB-C Hub</t>
        </is>
      </c>
      <c r="F284" t="inlineStr">
        <is>
          <t>Electronics</t>
        </is>
      </c>
      <c r="G284" t="inlineStr">
        <is>
          <t>Central</t>
        </is>
      </c>
      <c r="H284" t="inlineStr">
        <is>
          <t>In-store</t>
        </is>
      </c>
      <c r="I284" t="inlineStr">
        <is>
          <t>Anaya</t>
        </is>
      </c>
      <c r="J284" t="n">
        <v>1</v>
      </c>
      <c r="K284" s="6" t="n">
        <v>49</v>
      </c>
      <c r="L284" s="7" t="n">
        <v>0</v>
      </c>
      <c r="M284" t="inlineStr">
        <is>
          <t>Completed</t>
        </is>
      </c>
    </row>
    <row r="285">
      <c r="A285" t="inlineStr">
        <is>
          <t>ORD0284</t>
        </is>
      </c>
      <c r="B285" s="5" t="n">
        <v>45964</v>
      </c>
      <c r="C285" t="inlineStr">
        <is>
          <t>CUST1030</t>
        </is>
      </c>
      <c r="D285" t="inlineStr">
        <is>
          <t>P1010</t>
        </is>
      </c>
      <c r="E285" t="inlineStr">
        <is>
          <t>Notebook Pack</t>
        </is>
      </c>
      <c r="F285" t="inlineStr">
        <is>
          <t>Stationery</t>
        </is>
      </c>
      <c r="G285" t="inlineStr">
        <is>
          <t>East</t>
        </is>
      </c>
      <c r="H285" t="inlineStr">
        <is>
          <t>Online</t>
        </is>
      </c>
      <c r="I285" t="inlineStr">
        <is>
          <t>Meera</t>
        </is>
      </c>
      <c r="J285" t="n">
        <v>4</v>
      </c>
      <c r="K285" s="6" t="n">
        <v>10</v>
      </c>
      <c r="L285" s="7" t="n">
        <v>0.05</v>
      </c>
      <c r="M285" t="inlineStr">
        <is>
          <t>Returned</t>
        </is>
      </c>
    </row>
    <row r="286">
      <c r="A286" t="inlineStr">
        <is>
          <t>ORD0285</t>
        </is>
      </c>
      <c r="B286" s="5" t="n">
        <v>45811</v>
      </c>
      <c r="C286" t="inlineStr">
        <is>
          <t>CUST1075</t>
        </is>
      </c>
      <c r="D286" t="inlineStr">
        <is>
          <t>P1007</t>
        </is>
      </c>
      <c r="E286" t="inlineStr">
        <is>
          <t>Office Chair</t>
        </is>
      </c>
      <c r="F286" t="inlineStr">
        <is>
          <t>Furniture</t>
        </is>
      </c>
      <c r="G286" t="inlineStr">
        <is>
          <t>South</t>
        </is>
      </c>
      <c r="H286" t="inlineStr">
        <is>
          <t>Marketplace</t>
        </is>
      </c>
      <c r="I286" t="inlineStr">
        <is>
          <t>Sara</t>
        </is>
      </c>
      <c r="J286" t="n">
        <v>1</v>
      </c>
      <c r="K286" s="6" t="n">
        <v>179</v>
      </c>
      <c r="L286" s="7" t="n">
        <v>0.15</v>
      </c>
      <c r="M286" t="inlineStr">
        <is>
          <t>Completed</t>
        </is>
      </c>
    </row>
    <row r="287">
      <c r="A287" t="inlineStr">
        <is>
          <t>ORD0286</t>
        </is>
      </c>
      <c r="B287" s="5" t="n">
        <v>45834</v>
      </c>
      <c r="C287" t="inlineStr">
        <is>
          <t>CUST1048</t>
        </is>
      </c>
      <c r="D287" t="inlineStr">
        <is>
          <t>P1001</t>
        </is>
      </c>
      <c r="E287" t="inlineStr">
        <is>
          <t>Laptop Pro 14</t>
        </is>
      </c>
      <c r="F287" t="inlineStr">
        <is>
          <t>Electronics</t>
        </is>
      </c>
      <c r="G287" t="inlineStr">
        <is>
          <t>Central</t>
        </is>
      </c>
      <c r="H287" t="inlineStr">
        <is>
          <t>In-store</t>
        </is>
      </c>
      <c r="I287" t="inlineStr">
        <is>
          <t>Rohan</t>
        </is>
      </c>
      <c r="J287" t="n">
        <v>8</v>
      </c>
      <c r="K287" s="6" t="n">
        <v>1150</v>
      </c>
      <c r="L287" s="7" t="n">
        <v>0.2</v>
      </c>
      <c r="M287" t="inlineStr">
        <is>
          <t>Completed</t>
        </is>
      </c>
    </row>
    <row r="288">
      <c r="A288" t="inlineStr">
        <is>
          <t>ORD0287</t>
        </is>
      </c>
      <c r="B288" s="5" t="n">
        <v>45811</v>
      </c>
      <c r="C288" t="inlineStr">
        <is>
          <t>CUST1060</t>
        </is>
      </c>
      <c r="D288" t="inlineStr">
        <is>
          <t>P1003</t>
        </is>
      </c>
      <c r="E288" t="inlineStr">
        <is>
          <t>Mechanical Keyboard</t>
        </is>
      </c>
      <c r="F288" t="inlineStr">
        <is>
          <t>Electronics</t>
        </is>
      </c>
      <c r="G288" t="inlineStr">
        <is>
          <t>South</t>
        </is>
      </c>
      <c r="H288" t="inlineStr">
        <is>
          <t>Online</t>
        </is>
      </c>
      <c r="I288" t="inlineStr">
        <is>
          <t>Ishaan</t>
        </is>
      </c>
      <c r="J288" t="n">
        <v>2</v>
      </c>
      <c r="K288" s="6" t="n">
        <v>75</v>
      </c>
      <c r="L288" s="7" t="n">
        <v>0.15</v>
      </c>
      <c r="M288" t="inlineStr">
        <is>
          <t>Completed</t>
        </is>
      </c>
    </row>
    <row r="289">
      <c r="A289" t="inlineStr">
        <is>
          <t>ORD0288</t>
        </is>
      </c>
      <c r="B289" s="5" t="n">
        <v>45895</v>
      </c>
      <c r="C289" t="inlineStr">
        <is>
          <t>CUST1052</t>
        </is>
      </c>
      <c r="D289" t="inlineStr">
        <is>
          <t>P1013</t>
        </is>
      </c>
      <c r="E289" t="inlineStr">
        <is>
          <t>Water Bottle</t>
        </is>
      </c>
      <c r="F289" t="inlineStr">
        <is>
          <t>Accessories</t>
        </is>
      </c>
      <c r="G289" t="inlineStr">
        <is>
          <t>West</t>
        </is>
      </c>
      <c r="H289" t="inlineStr">
        <is>
          <t>Marketplace</t>
        </is>
      </c>
      <c r="I289" t="inlineStr">
        <is>
          <t>Rohan</t>
        </is>
      </c>
      <c r="J289" t="n">
        <v>5</v>
      </c>
      <c r="K289" s="6" t="n">
        <v>18</v>
      </c>
      <c r="L289" s="7" t="n">
        <v>0.15</v>
      </c>
      <c r="M289" t="inlineStr">
        <is>
          <t>Completed</t>
        </is>
      </c>
    </row>
    <row r="290">
      <c r="A290" t="inlineStr">
        <is>
          <t>ORD0289</t>
        </is>
      </c>
      <c r="B290" s="5" t="n">
        <v>45788</v>
      </c>
      <c r="C290" t="inlineStr">
        <is>
          <t>CUST1010</t>
        </is>
      </c>
      <c r="D290" t="inlineStr">
        <is>
          <t>P1004</t>
        </is>
      </c>
      <c r="E290" t="inlineStr">
        <is>
          <t>USB-C Hub</t>
        </is>
      </c>
      <c r="F290" t="inlineStr">
        <is>
          <t>Electronics</t>
        </is>
      </c>
      <c r="G290" t="inlineStr">
        <is>
          <t>West</t>
        </is>
      </c>
      <c r="H290" t="inlineStr">
        <is>
          <t>In-store</t>
        </is>
      </c>
      <c r="I290" t="inlineStr">
        <is>
          <t>Meera</t>
        </is>
      </c>
      <c r="J290" t="n">
        <v>1</v>
      </c>
      <c r="K290" s="6" t="n">
        <v>49</v>
      </c>
      <c r="L290" s="7" t="n">
        <v>0.2</v>
      </c>
      <c r="M290" t="inlineStr">
        <is>
          <t>Completed</t>
        </is>
      </c>
    </row>
    <row r="291">
      <c r="A291" t="inlineStr">
        <is>
          <t>ORD0290</t>
        </is>
      </c>
      <c r="B291" s="5" t="n">
        <v>45795</v>
      </c>
      <c r="C291" t="inlineStr">
        <is>
          <t>CUST1077</t>
        </is>
      </c>
      <c r="D291" t="inlineStr">
        <is>
          <t>P1001</t>
        </is>
      </c>
      <c r="E291" t="inlineStr">
        <is>
          <t>Laptop Pro 14</t>
        </is>
      </c>
      <c r="F291" t="inlineStr">
        <is>
          <t>Electronics</t>
        </is>
      </c>
      <c r="G291" t="inlineStr">
        <is>
          <t>North</t>
        </is>
      </c>
      <c r="H291" t="inlineStr">
        <is>
          <t>Online</t>
        </is>
      </c>
      <c r="I291" t="inlineStr">
        <is>
          <t>Meera</t>
        </is>
      </c>
      <c r="J291" t="n">
        <v>2</v>
      </c>
      <c r="K291" s="6" t="n">
        <v>1150</v>
      </c>
      <c r="L291" s="7" t="n">
        <v>0.15</v>
      </c>
      <c r="M291" t="inlineStr">
        <is>
          <t>Completed</t>
        </is>
      </c>
    </row>
    <row r="292">
      <c r="A292" t="inlineStr">
        <is>
          <t>ORD0291</t>
        </is>
      </c>
      <c r="B292" s="5" t="n">
        <v>45764</v>
      </c>
      <c r="C292" t="inlineStr">
        <is>
          <t>CUST1038</t>
        </is>
      </c>
      <c r="D292" t="inlineStr">
        <is>
          <t>P1008</t>
        </is>
      </c>
      <c r="E292" t="inlineStr">
        <is>
          <t>Standing Desk</t>
        </is>
      </c>
      <c r="F292" t="inlineStr">
        <is>
          <t>Furniture</t>
        </is>
      </c>
      <c r="G292" t="inlineStr">
        <is>
          <t>North</t>
        </is>
      </c>
      <c r="H292" t="inlineStr">
        <is>
          <t>Online</t>
        </is>
      </c>
      <c r="I292" t="inlineStr">
        <is>
          <t>Diya</t>
        </is>
      </c>
      <c r="J292" t="n">
        <v>5</v>
      </c>
      <c r="K292" s="6" t="n">
        <v>379</v>
      </c>
      <c r="L292" s="7" t="n">
        <v>0.05</v>
      </c>
      <c r="M292" t="inlineStr">
        <is>
          <t>Pending</t>
        </is>
      </c>
    </row>
    <row r="293">
      <c r="A293" t="inlineStr">
        <is>
          <t>ORD0292</t>
        </is>
      </c>
      <c r="B293" s="5" t="n">
        <v>45903</v>
      </c>
      <c r="C293" t="inlineStr">
        <is>
          <t>CUST1077</t>
        </is>
      </c>
      <c r="D293" t="inlineStr">
        <is>
          <t>P1012</t>
        </is>
      </c>
      <c r="E293" t="inlineStr">
        <is>
          <t>Whiteboard</t>
        </is>
      </c>
      <c r="F293" t="inlineStr">
        <is>
          <t>Stationery</t>
        </is>
      </c>
      <c r="G293" t="inlineStr">
        <is>
          <t>South</t>
        </is>
      </c>
      <c r="H293" t="inlineStr">
        <is>
          <t>In-store</t>
        </is>
      </c>
      <c r="I293" t="inlineStr">
        <is>
          <t>Anaya</t>
        </is>
      </c>
      <c r="J293" t="n">
        <v>5</v>
      </c>
      <c r="K293" s="6" t="n">
        <v>59</v>
      </c>
      <c r="L293" s="7" t="n">
        <v>0.2</v>
      </c>
      <c r="M293" t="inlineStr">
        <is>
          <t>Pending</t>
        </is>
      </c>
    </row>
    <row r="294">
      <c r="A294" t="inlineStr">
        <is>
          <t>ORD0293</t>
        </is>
      </c>
      <c r="B294" s="5" t="n">
        <v>45802</v>
      </c>
      <c r="C294" t="inlineStr">
        <is>
          <t>CUST1045</t>
        </is>
      </c>
      <c r="D294" t="inlineStr">
        <is>
          <t>P1013</t>
        </is>
      </c>
      <c r="E294" t="inlineStr">
        <is>
          <t>Water Bottle</t>
        </is>
      </c>
      <c r="F294" t="inlineStr">
        <is>
          <t>Accessories</t>
        </is>
      </c>
      <c r="G294" t="inlineStr">
        <is>
          <t>East</t>
        </is>
      </c>
      <c r="H294" t="inlineStr">
        <is>
          <t>In-store</t>
        </is>
      </c>
      <c r="I294" t="inlineStr">
        <is>
          <t>Sara</t>
        </is>
      </c>
      <c r="J294" t="n">
        <v>2</v>
      </c>
      <c r="K294" s="6" t="n">
        <v>18</v>
      </c>
      <c r="L294" s="7" t="n">
        <v>0.15</v>
      </c>
      <c r="M294" t="inlineStr">
        <is>
          <t>Completed</t>
        </is>
      </c>
    </row>
    <row r="295">
      <c r="A295" t="inlineStr">
        <is>
          <t>ORD0294</t>
        </is>
      </c>
      <c r="B295" s="5" t="n">
        <v>45708</v>
      </c>
      <c r="C295" t="inlineStr">
        <is>
          <t>CUST1060</t>
        </is>
      </c>
      <c r="D295" t="inlineStr">
        <is>
          <t>P1008</t>
        </is>
      </c>
      <c r="E295" t="inlineStr">
        <is>
          <t>Standing Desk</t>
        </is>
      </c>
      <c r="F295" t="inlineStr">
        <is>
          <t>Furniture</t>
        </is>
      </c>
      <c r="G295" t="inlineStr">
        <is>
          <t>East</t>
        </is>
      </c>
      <c r="H295" t="inlineStr">
        <is>
          <t>Online</t>
        </is>
      </c>
      <c r="I295" t="inlineStr">
        <is>
          <t>Rohan</t>
        </is>
      </c>
      <c r="J295" t="n">
        <v>4</v>
      </c>
      <c r="K295" s="6" t="n">
        <v>379</v>
      </c>
      <c r="L295" s="7" t="n">
        <v>0.2</v>
      </c>
      <c r="M295" t="inlineStr">
        <is>
          <t>Completed</t>
        </is>
      </c>
    </row>
    <row r="296">
      <c r="A296" t="inlineStr">
        <is>
          <t>ORD0295</t>
        </is>
      </c>
      <c r="B296" s="5" t="n">
        <v>45946</v>
      </c>
      <c r="C296" t="inlineStr">
        <is>
          <t>CUST1018</t>
        </is>
      </c>
      <c r="D296" t="inlineStr">
        <is>
          <t>P1001</t>
        </is>
      </c>
      <c r="E296" t="inlineStr">
        <is>
          <t>Laptop Pro 14</t>
        </is>
      </c>
      <c r="F296" t="inlineStr">
        <is>
          <t>Electronics</t>
        </is>
      </c>
      <c r="G296" t="inlineStr">
        <is>
          <t>North</t>
        </is>
      </c>
      <c r="H296" t="inlineStr">
        <is>
          <t>In-store</t>
        </is>
      </c>
      <c r="I296" t="inlineStr">
        <is>
          <t>Rohan</t>
        </is>
      </c>
      <c r="J296" t="n">
        <v>5</v>
      </c>
      <c r="K296" s="6" t="n">
        <v>1150</v>
      </c>
      <c r="L296" s="7" t="n">
        <v>0.2</v>
      </c>
      <c r="M296" t="inlineStr">
        <is>
          <t>Completed</t>
        </is>
      </c>
    </row>
    <row r="297">
      <c r="A297" t="inlineStr">
        <is>
          <t>ORD0296</t>
        </is>
      </c>
      <c r="B297" s="5" t="n">
        <v>45736</v>
      </c>
      <c r="C297" t="inlineStr">
        <is>
          <t>CUST1048</t>
        </is>
      </c>
      <c r="D297" t="inlineStr">
        <is>
          <t>P1005</t>
        </is>
      </c>
      <c r="E297" t="inlineStr">
        <is>
          <t>Monitor 27 inch</t>
        </is>
      </c>
      <c r="F297" t="inlineStr">
        <is>
          <t>Electronics</t>
        </is>
      </c>
      <c r="G297" t="inlineStr">
        <is>
          <t>Central</t>
        </is>
      </c>
      <c r="H297" t="inlineStr">
        <is>
          <t>Online</t>
        </is>
      </c>
      <c r="I297" t="inlineStr">
        <is>
          <t>Anaya</t>
        </is>
      </c>
      <c r="J297" t="n">
        <v>1</v>
      </c>
      <c r="K297" s="6" t="n">
        <v>299</v>
      </c>
      <c r="L297" s="7" t="n">
        <v>0</v>
      </c>
      <c r="M297" t="inlineStr">
        <is>
          <t>Completed</t>
        </is>
      </c>
    </row>
    <row r="298">
      <c r="A298" t="inlineStr">
        <is>
          <t>ORD0297</t>
        </is>
      </c>
      <c r="B298" s="5" t="n">
        <v>45908</v>
      </c>
      <c r="C298" t="inlineStr">
        <is>
          <t>CUST1062</t>
        </is>
      </c>
      <c r="D298" t="inlineStr">
        <is>
          <t>P1005</t>
        </is>
      </c>
      <c r="E298" t="inlineStr">
        <is>
          <t>Monitor 27 inch</t>
        </is>
      </c>
      <c r="F298" t="inlineStr">
        <is>
          <t>Electronics</t>
        </is>
      </c>
      <c r="G298" t="inlineStr">
        <is>
          <t>West</t>
        </is>
      </c>
      <c r="H298" t="inlineStr">
        <is>
          <t>Online</t>
        </is>
      </c>
      <c r="I298" t="inlineStr">
        <is>
          <t>Anaya</t>
        </is>
      </c>
      <c r="J298" t="n">
        <v>8</v>
      </c>
      <c r="K298" s="6" t="n">
        <v>299</v>
      </c>
      <c r="L298" s="7" t="n">
        <v>0.2</v>
      </c>
      <c r="M298" t="inlineStr">
        <is>
          <t>Completed</t>
        </is>
      </c>
    </row>
    <row r="299">
      <c r="A299" t="inlineStr">
        <is>
          <t>ORD0298</t>
        </is>
      </c>
      <c r="B299" s="5" t="n">
        <v>45729</v>
      </c>
      <c r="C299" t="inlineStr">
        <is>
          <t>CUST1023</t>
        </is>
      </c>
      <c r="D299" t="inlineStr">
        <is>
          <t>P1003</t>
        </is>
      </c>
      <c r="E299" t="inlineStr">
        <is>
          <t>Mechanical Keyboard</t>
        </is>
      </c>
      <c r="F299" t="inlineStr">
        <is>
          <t>Electronics</t>
        </is>
      </c>
      <c r="G299" t="inlineStr">
        <is>
          <t>Central</t>
        </is>
      </c>
      <c r="H299" t="inlineStr">
        <is>
          <t>Marketplace</t>
        </is>
      </c>
      <c r="I299" t="inlineStr">
        <is>
          <t>Aarav</t>
        </is>
      </c>
      <c r="J299" t="n">
        <v>3</v>
      </c>
      <c r="K299" s="6" t="n">
        <v>75</v>
      </c>
      <c r="L299" s="7" t="n">
        <v>0.1</v>
      </c>
      <c r="M299" t="inlineStr">
        <is>
          <t>Returned</t>
        </is>
      </c>
    </row>
    <row r="300">
      <c r="A300" t="inlineStr">
        <is>
          <t>ORD0299</t>
        </is>
      </c>
      <c r="B300" s="5" t="n">
        <v>45696</v>
      </c>
      <c r="C300" t="inlineStr">
        <is>
          <t>CUST1006</t>
        </is>
      </c>
      <c r="D300" t="inlineStr">
        <is>
          <t>P1014</t>
        </is>
      </c>
      <c r="E300" t="inlineStr">
        <is>
          <t>Backpack</t>
        </is>
      </c>
      <c r="F300" t="inlineStr">
        <is>
          <t>Accessories</t>
        </is>
      </c>
      <c r="G300" t="inlineStr">
        <is>
          <t>North</t>
        </is>
      </c>
      <c r="H300" t="inlineStr">
        <is>
          <t>In-store</t>
        </is>
      </c>
      <c r="I300" t="inlineStr">
        <is>
          <t>Meera</t>
        </is>
      </c>
      <c r="J300" t="n">
        <v>8</v>
      </c>
      <c r="K300" s="6" t="n">
        <v>49</v>
      </c>
      <c r="L300" s="7" t="n">
        <v>0.2</v>
      </c>
      <c r="M300" t="inlineStr">
        <is>
          <t>Completed</t>
        </is>
      </c>
    </row>
    <row r="301">
      <c r="A301" t="inlineStr">
        <is>
          <t>ORD0300</t>
        </is>
      </c>
      <c r="B301" s="5" t="n">
        <v>46020</v>
      </c>
      <c r="C301" t="inlineStr">
        <is>
          <t>CUST1064</t>
        </is>
      </c>
      <c r="D301" t="inlineStr">
        <is>
          <t>P1002</t>
        </is>
      </c>
      <c r="E301" t="inlineStr">
        <is>
          <t>Wireless Mouse</t>
        </is>
      </c>
      <c r="F301" t="inlineStr">
        <is>
          <t>Electronics</t>
        </is>
      </c>
      <c r="G301" t="inlineStr">
        <is>
          <t>West</t>
        </is>
      </c>
      <c r="H301" t="inlineStr">
        <is>
          <t>In-store</t>
        </is>
      </c>
      <c r="I301" t="inlineStr">
        <is>
          <t>Sara</t>
        </is>
      </c>
      <c r="J301" t="n">
        <v>1</v>
      </c>
      <c r="K301" s="6" t="n">
        <v>25</v>
      </c>
      <c r="L301" s="7" t="n">
        <v>0</v>
      </c>
      <c r="M301" t="inlineStr">
        <is>
          <t>Completed</t>
        </is>
      </c>
    </row>
    <row r="302">
      <c r="A302" t="inlineStr">
        <is>
          <t>ORD0301</t>
        </is>
      </c>
      <c r="B302" s="5" t="n">
        <v>45907</v>
      </c>
      <c r="C302" t="inlineStr">
        <is>
          <t>CUST1070</t>
        </is>
      </c>
      <c r="D302" t="inlineStr">
        <is>
          <t>P1011</t>
        </is>
      </c>
      <c r="E302" t="inlineStr">
        <is>
          <t>Pen Set</t>
        </is>
      </c>
      <c r="F302" t="inlineStr">
        <is>
          <t>Stationery</t>
        </is>
      </c>
      <c r="G302" t="inlineStr">
        <is>
          <t>West</t>
        </is>
      </c>
      <c r="H302" t="inlineStr">
        <is>
          <t>Online</t>
        </is>
      </c>
      <c r="I302" t="inlineStr">
        <is>
          <t>Kabir</t>
        </is>
      </c>
      <c r="J302" t="n">
        <v>1</v>
      </c>
      <c r="K302" s="6" t="n">
        <v>8</v>
      </c>
      <c r="L302" s="7" t="n">
        <v>0.15</v>
      </c>
      <c r="M302" t="inlineStr">
        <is>
          <t>Completed</t>
        </is>
      </c>
    </row>
    <row r="303">
      <c r="A303" t="inlineStr">
        <is>
          <t>ORD0302</t>
        </is>
      </c>
      <c r="B303" s="5" t="n">
        <v>45804</v>
      </c>
      <c r="C303" t="inlineStr">
        <is>
          <t>CUST1055</t>
        </is>
      </c>
      <c r="D303" t="inlineStr">
        <is>
          <t>P1009</t>
        </is>
      </c>
      <c r="E303" t="inlineStr">
        <is>
          <t>Desk Lamp</t>
        </is>
      </c>
      <c r="F303" t="inlineStr">
        <is>
          <t>Furniture</t>
        </is>
      </c>
      <c r="G303" t="inlineStr">
        <is>
          <t>South</t>
        </is>
      </c>
      <c r="H303" t="inlineStr">
        <is>
          <t>Online</t>
        </is>
      </c>
      <c r="I303" t="inlineStr">
        <is>
          <t>Ishaan</t>
        </is>
      </c>
      <c r="J303" t="n">
        <v>1</v>
      </c>
      <c r="K303" s="6" t="n">
        <v>39</v>
      </c>
      <c r="L303" s="7" t="n">
        <v>0.2</v>
      </c>
      <c r="M303" t="inlineStr">
        <is>
          <t>Pending</t>
        </is>
      </c>
    </row>
    <row r="304">
      <c r="A304" t="inlineStr">
        <is>
          <t>ORD0303</t>
        </is>
      </c>
      <c r="B304" s="5" t="n">
        <v>45756</v>
      </c>
      <c r="C304" t="inlineStr">
        <is>
          <t>CUST1045</t>
        </is>
      </c>
      <c r="D304" t="inlineStr">
        <is>
          <t>P1004</t>
        </is>
      </c>
      <c r="E304" t="inlineStr">
        <is>
          <t>USB-C Hub</t>
        </is>
      </c>
      <c r="F304" t="inlineStr">
        <is>
          <t>Electronics</t>
        </is>
      </c>
      <c r="G304" t="inlineStr">
        <is>
          <t>East</t>
        </is>
      </c>
      <c r="H304" t="inlineStr">
        <is>
          <t>In-store</t>
        </is>
      </c>
      <c r="I304" t="inlineStr">
        <is>
          <t>Rohan</t>
        </is>
      </c>
      <c r="J304" t="n">
        <v>3</v>
      </c>
      <c r="K304" s="6" t="n">
        <v>49</v>
      </c>
      <c r="L304" s="7" t="n">
        <v>0.05</v>
      </c>
      <c r="M304" t="inlineStr">
        <is>
          <t>Completed</t>
        </is>
      </c>
    </row>
    <row r="305">
      <c r="A305" t="inlineStr">
        <is>
          <t>ORD0304</t>
        </is>
      </c>
      <c r="B305" s="5" t="n">
        <v>45947</v>
      </c>
      <c r="C305" t="inlineStr">
        <is>
          <t>CUST1028</t>
        </is>
      </c>
      <c r="D305" t="inlineStr">
        <is>
          <t>P1008</t>
        </is>
      </c>
      <c r="E305" t="inlineStr">
        <is>
          <t>Standing Desk</t>
        </is>
      </c>
      <c r="F305" t="inlineStr">
        <is>
          <t>Furniture</t>
        </is>
      </c>
      <c r="G305" t="inlineStr">
        <is>
          <t>East</t>
        </is>
      </c>
      <c r="H305" t="inlineStr">
        <is>
          <t>Marketplace</t>
        </is>
      </c>
      <c r="I305" t="inlineStr">
        <is>
          <t>Diya</t>
        </is>
      </c>
      <c r="J305" t="n">
        <v>1</v>
      </c>
      <c r="K305" s="6" t="n">
        <v>379</v>
      </c>
      <c r="L305" s="7" t="n">
        <v>0.2</v>
      </c>
      <c r="M305" t="inlineStr">
        <is>
          <t>Completed</t>
        </is>
      </c>
    </row>
    <row r="306">
      <c r="A306" t="inlineStr">
        <is>
          <t>ORD0305</t>
        </is>
      </c>
      <c r="B306" s="5" t="n">
        <v>45990</v>
      </c>
      <c r="C306" t="inlineStr">
        <is>
          <t>CUST1051</t>
        </is>
      </c>
      <c r="D306" t="inlineStr">
        <is>
          <t>P1011</t>
        </is>
      </c>
      <c r="E306" t="inlineStr">
        <is>
          <t>Pen Set</t>
        </is>
      </c>
      <c r="F306" t="inlineStr">
        <is>
          <t>Stationery</t>
        </is>
      </c>
      <c r="G306" t="inlineStr">
        <is>
          <t>West</t>
        </is>
      </c>
      <c r="H306" t="inlineStr">
        <is>
          <t>In-store</t>
        </is>
      </c>
      <c r="I306" t="inlineStr">
        <is>
          <t>Aarav</t>
        </is>
      </c>
      <c r="J306" t="n">
        <v>3</v>
      </c>
      <c r="K306" s="6" t="n">
        <v>8</v>
      </c>
      <c r="L306" s="7" t="n">
        <v>0</v>
      </c>
      <c r="M306" t="inlineStr">
        <is>
          <t>Completed</t>
        </is>
      </c>
    </row>
    <row r="307">
      <c r="A307" t="inlineStr">
        <is>
          <t>ORD0306</t>
        </is>
      </c>
      <c r="B307" s="5" t="n">
        <v>45662</v>
      </c>
      <c r="C307" t="inlineStr">
        <is>
          <t>CUST1063</t>
        </is>
      </c>
      <c r="D307" t="inlineStr">
        <is>
          <t>P1011</t>
        </is>
      </c>
      <c r="E307" t="inlineStr">
        <is>
          <t>Pen Set</t>
        </is>
      </c>
      <c r="F307" t="inlineStr">
        <is>
          <t>Stationery</t>
        </is>
      </c>
      <c r="G307" t="inlineStr">
        <is>
          <t>West</t>
        </is>
      </c>
      <c r="H307" t="inlineStr">
        <is>
          <t>Marketplace</t>
        </is>
      </c>
      <c r="I307" t="inlineStr">
        <is>
          <t>Diya</t>
        </is>
      </c>
      <c r="J307" t="n">
        <v>3</v>
      </c>
      <c r="K307" s="6" t="n">
        <v>8</v>
      </c>
      <c r="L307" s="7" t="n">
        <v>0</v>
      </c>
      <c r="M307" t="inlineStr">
        <is>
          <t>Completed</t>
        </is>
      </c>
    </row>
    <row r="308">
      <c r="A308" t="inlineStr">
        <is>
          <t>ORD0307</t>
        </is>
      </c>
      <c r="B308" s="5" t="n">
        <v>45928</v>
      </c>
      <c r="C308" t="inlineStr">
        <is>
          <t>CUST1027</t>
        </is>
      </c>
      <c r="D308" t="inlineStr">
        <is>
          <t>P1015</t>
        </is>
      </c>
      <c r="E308" t="inlineStr">
        <is>
          <t>Phone Stand</t>
        </is>
      </c>
      <c r="F308" t="inlineStr">
        <is>
          <t>Accessories</t>
        </is>
      </c>
      <c r="G308" t="inlineStr">
        <is>
          <t>Central</t>
        </is>
      </c>
      <c r="H308" t="inlineStr">
        <is>
          <t>In-store</t>
        </is>
      </c>
      <c r="I308" t="inlineStr">
        <is>
          <t>Diya</t>
        </is>
      </c>
      <c r="J308" t="n">
        <v>5</v>
      </c>
      <c r="K308" s="6" t="n">
        <v>16</v>
      </c>
      <c r="L308" s="7" t="n">
        <v>0</v>
      </c>
      <c r="M308" t="inlineStr">
        <is>
          <t>Completed</t>
        </is>
      </c>
    </row>
    <row r="309">
      <c r="A309" t="inlineStr">
        <is>
          <t>ORD0308</t>
        </is>
      </c>
      <c r="B309" s="5" t="n">
        <v>45801</v>
      </c>
      <c r="C309" t="inlineStr">
        <is>
          <t>CUST1004</t>
        </is>
      </c>
      <c r="D309" t="inlineStr">
        <is>
          <t>P1011</t>
        </is>
      </c>
      <c r="E309" t="inlineStr">
        <is>
          <t>Pen Set</t>
        </is>
      </c>
      <c r="F309" t="inlineStr">
        <is>
          <t>Stationery</t>
        </is>
      </c>
      <c r="G309" t="inlineStr">
        <is>
          <t>South</t>
        </is>
      </c>
      <c r="H309" t="inlineStr">
        <is>
          <t>In-store</t>
        </is>
      </c>
      <c r="I309" t="inlineStr">
        <is>
          <t>Meera</t>
        </is>
      </c>
      <c r="J309" t="n">
        <v>5</v>
      </c>
      <c r="K309" s="6" t="n">
        <v>8</v>
      </c>
      <c r="L309" s="7" t="n">
        <v>0.15</v>
      </c>
      <c r="M309" t="inlineStr">
        <is>
          <t>Completed</t>
        </is>
      </c>
    </row>
    <row r="310">
      <c r="A310" t="inlineStr">
        <is>
          <t>ORD0309</t>
        </is>
      </c>
      <c r="B310" s="5" t="n">
        <v>45731</v>
      </c>
      <c r="C310" t="inlineStr">
        <is>
          <t>CUST1050</t>
        </is>
      </c>
      <c r="D310" t="inlineStr">
        <is>
          <t>P1010</t>
        </is>
      </c>
      <c r="E310" t="inlineStr">
        <is>
          <t>Notebook Pack</t>
        </is>
      </c>
      <c r="F310" t="inlineStr">
        <is>
          <t>Stationery</t>
        </is>
      </c>
      <c r="G310" t="inlineStr">
        <is>
          <t>North</t>
        </is>
      </c>
      <c r="H310" t="inlineStr">
        <is>
          <t>In-store</t>
        </is>
      </c>
      <c r="I310" t="inlineStr">
        <is>
          <t>Meera</t>
        </is>
      </c>
      <c r="J310" t="n">
        <v>3</v>
      </c>
      <c r="K310" s="6" t="n">
        <v>10</v>
      </c>
      <c r="L310" s="7" t="n">
        <v>0.2</v>
      </c>
      <c r="M310" t="inlineStr">
        <is>
          <t>Completed</t>
        </is>
      </c>
    </row>
    <row r="311">
      <c r="A311" t="inlineStr">
        <is>
          <t>ORD0310</t>
        </is>
      </c>
      <c r="B311" s="5" t="n">
        <v>45857</v>
      </c>
      <c r="C311" t="inlineStr">
        <is>
          <t>CUST1042</t>
        </is>
      </c>
      <c r="D311" t="inlineStr">
        <is>
          <t>P1010</t>
        </is>
      </c>
      <c r="E311" t="inlineStr">
        <is>
          <t>Notebook Pack</t>
        </is>
      </c>
      <c r="F311" t="inlineStr">
        <is>
          <t>Stationery</t>
        </is>
      </c>
      <c r="G311" t="inlineStr">
        <is>
          <t>West</t>
        </is>
      </c>
      <c r="H311" t="inlineStr">
        <is>
          <t>Marketplace</t>
        </is>
      </c>
      <c r="I311" t="inlineStr">
        <is>
          <t>Diya</t>
        </is>
      </c>
      <c r="J311" t="n">
        <v>3</v>
      </c>
      <c r="K311" s="6" t="n">
        <v>10</v>
      </c>
      <c r="L311" s="7" t="n">
        <v>0.15</v>
      </c>
      <c r="M311" t="inlineStr">
        <is>
          <t>Completed</t>
        </is>
      </c>
    </row>
    <row r="312">
      <c r="A312" t="inlineStr">
        <is>
          <t>ORD0311</t>
        </is>
      </c>
      <c r="B312" s="5" t="n">
        <v>45835</v>
      </c>
      <c r="C312" t="inlineStr">
        <is>
          <t>CUST1029</t>
        </is>
      </c>
      <c r="D312" t="inlineStr">
        <is>
          <t>P1009</t>
        </is>
      </c>
      <c r="E312" t="inlineStr">
        <is>
          <t>Desk Lamp</t>
        </is>
      </c>
      <c r="F312" t="inlineStr">
        <is>
          <t>Furniture</t>
        </is>
      </c>
      <c r="G312" t="inlineStr">
        <is>
          <t>North</t>
        </is>
      </c>
      <c r="H312" t="inlineStr">
        <is>
          <t>In-store</t>
        </is>
      </c>
      <c r="I312" t="inlineStr">
        <is>
          <t>Rohan</t>
        </is>
      </c>
      <c r="J312" t="n">
        <v>1</v>
      </c>
      <c r="K312" s="6" t="n">
        <v>39</v>
      </c>
      <c r="L312" s="7" t="n">
        <v>0.1</v>
      </c>
      <c r="M312" t="inlineStr">
        <is>
          <t>Completed</t>
        </is>
      </c>
    </row>
    <row r="313">
      <c r="A313" t="inlineStr">
        <is>
          <t>ORD0312</t>
        </is>
      </c>
      <c r="B313" s="5" t="n">
        <v>45825</v>
      </c>
      <c r="C313" t="inlineStr">
        <is>
          <t>CUST1057</t>
        </is>
      </c>
      <c r="D313" t="inlineStr">
        <is>
          <t>P1013</t>
        </is>
      </c>
      <c r="E313" t="inlineStr">
        <is>
          <t>Water Bottle</t>
        </is>
      </c>
      <c r="F313" t="inlineStr">
        <is>
          <t>Accessories</t>
        </is>
      </c>
      <c r="G313" t="inlineStr">
        <is>
          <t>West</t>
        </is>
      </c>
      <c r="H313" t="inlineStr">
        <is>
          <t>Online</t>
        </is>
      </c>
      <c r="I313" t="inlineStr">
        <is>
          <t>Rohan</t>
        </is>
      </c>
      <c r="J313" t="n">
        <v>1</v>
      </c>
      <c r="K313" s="6" t="n">
        <v>18</v>
      </c>
      <c r="L313" s="7" t="n">
        <v>0.05</v>
      </c>
      <c r="M313" t="inlineStr">
        <is>
          <t>Completed</t>
        </is>
      </c>
    </row>
    <row r="314">
      <c r="A314" t="inlineStr">
        <is>
          <t>ORD0313</t>
        </is>
      </c>
      <c r="B314" s="5" t="n">
        <v>45753</v>
      </c>
      <c r="C314" t="inlineStr">
        <is>
          <t>CUST1048</t>
        </is>
      </c>
      <c r="D314" t="inlineStr">
        <is>
          <t>P1007</t>
        </is>
      </c>
      <c r="E314" t="inlineStr">
        <is>
          <t>Office Chair</t>
        </is>
      </c>
      <c r="F314" t="inlineStr">
        <is>
          <t>Furniture</t>
        </is>
      </c>
      <c r="G314" t="inlineStr">
        <is>
          <t>North</t>
        </is>
      </c>
      <c r="H314" t="inlineStr">
        <is>
          <t>Marketplace</t>
        </is>
      </c>
      <c r="I314" t="inlineStr">
        <is>
          <t>Meera</t>
        </is>
      </c>
      <c r="J314" t="n">
        <v>3</v>
      </c>
      <c r="K314" s="6" t="n">
        <v>179</v>
      </c>
      <c r="L314" s="7" t="n">
        <v>0.2</v>
      </c>
      <c r="M314" t="inlineStr">
        <is>
          <t>Completed</t>
        </is>
      </c>
    </row>
    <row r="315">
      <c r="A315" t="inlineStr">
        <is>
          <t>ORD0314</t>
        </is>
      </c>
      <c r="B315" s="5" t="n">
        <v>45695</v>
      </c>
      <c r="C315" t="inlineStr">
        <is>
          <t>CUST1048</t>
        </is>
      </c>
      <c r="D315" t="inlineStr">
        <is>
          <t>P1012</t>
        </is>
      </c>
      <c r="E315" t="inlineStr">
        <is>
          <t>Whiteboard</t>
        </is>
      </c>
      <c r="F315" t="inlineStr">
        <is>
          <t>Stationery</t>
        </is>
      </c>
      <c r="G315" t="inlineStr">
        <is>
          <t>South</t>
        </is>
      </c>
      <c r="H315" t="inlineStr">
        <is>
          <t>Marketplace</t>
        </is>
      </c>
      <c r="I315" t="inlineStr">
        <is>
          <t>Anaya</t>
        </is>
      </c>
      <c r="J315" t="n">
        <v>1</v>
      </c>
      <c r="K315" s="6" t="n">
        <v>59</v>
      </c>
      <c r="L315" s="7" t="n">
        <v>0</v>
      </c>
      <c r="M315" t="inlineStr">
        <is>
          <t>Completed</t>
        </is>
      </c>
    </row>
    <row r="316">
      <c r="A316" t="inlineStr">
        <is>
          <t>ORD0315</t>
        </is>
      </c>
      <c r="B316" s="5" t="n">
        <v>45704</v>
      </c>
      <c r="C316" t="inlineStr">
        <is>
          <t>CUST1056</t>
        </is>
      </c>
      <c r="D316" t="inlineStr">
        <is>
          <t>P1002</t>
        </is>
      </c>
      <c r="E316" t="inlineStr">
        <is>
          <t>Wireless Mouse</t>
        </is>
      </c>
      <c r="F316" t="inlineStr">
        <is>
          <t>Electronics</t>
        </is>
      </c>
      <c r="G316" t="inlineStr">
        <is>
          <t>East</t>
        </is>
      </c>
      <c r="H316" t="inlineStr">
        <is>
          <t>In-store</t>
        </is>
      </c>
      <c r="I316" t="inlineStr">
        <is>
          <t>Diya</t>
        </is>
      </c>
      <c r="J316" t="n">
        <v>1</v>
      </c>
      <c r="K316" s="6" t="n">
        <v>25</v>
      </c>
      <c r="L316" s="7" t="n">
        <v>0.05</v>
      </c>
      <c r="M316" t="inlineStr">
        <is>
          <t>Completed</t>
        </is>
      </c>
    </row>
    <row r="317">
      <c r="A317" t="inlineStr">
        <is>
          <t>ORD0316</t>
        </is>
      </c>
      <c r="B317" s="5" t="n">
        <v>45878</v>
      </c>
      <c r="C317" t="inlineStr">
        <is>
          <t>CUST1065</t>
        </is>
      </c>
      <c r="D317" t="inlineStr">
        <is>
          <t>P1003</t>
        </is>
      </c>
      <c r="E317" t="inlineStr">
        <is>
          <t>Mechanical Keyboard</t>
        </is>
      </c>
      <c r="F317" t="inlineStr">
        <is>
          <t>Electronics</t>
        </is>
      </c>
      <c r="G317" t="inlineStr">
        <is>
          <t>West</t>
        </is>
      </c>
      <c r="H317" t="inlineStr">
        <is>
          <t>Online</t>
        </is>
      </c>
      <c r="I317" t="inlineStr">
        <is>
          <t>Anaya</t>
        </is>
      </c>
      <c r="J317" t="n">
        <v>2</v>
      </c>
      <c r="K317" s="6" t="n">
        <v>75</v>
      </c>
      <c r="L317" s="7" t="n">
        <v>0.15</v>
      </c>
      <c r="M317" t="inlineStr">
        <is>
          <t>Completed</t>
        </is>
      </c>
    </row>
    <row r="318">
      <c r="A318" t="inlineStr">
        <is>
          <t>ORD0317</t>
        </is>
      </c>
      <c r="B318" s="5" t="n">
        <v>45705</v>
      </c>
      <c r="C318" t="inlineStr">
        <is>
          <t>CUST1049</t>
        </is>
      </c>
      <c r="D318" t="inlineStr">
        <is>
          <t>P1009</t>
        </is>
      </c>
      <c r="E318" t="inlineStr">
        <is>
          <t>Desk Lamp</t>
        </is>
      </c>
      <c r="F318" t="inlineStr">
        <is>
          <t>Furniture</t>
        </is>
      </c>
      <c r="G318" t="inlineStr">
        <is>
          <t>North</t>
        </is>
      </c>
      <c r="H318" t="inlineStr">
        <is>
          <t>In-store</t>
        </is>
      </c>
      <c r="I318" t="inlineStr">
        <is>
          <t>Diya</t>
        </is>
      </c>
      <c r="J318" t="n">
        <v>3</v>
      </c>
      <c r="K318" s="6" t="n">
        <v>39</v>
      </c>
      <c r="L318" s="7" t="n">
        <v>0.05</v>
      </c>
      <c r="M318" t="inlineStr">
        <is>
          <t>Completed</t>
        </is>
      </c>
    </row>
    <row r="319">
      <c r="A319" t="inlineStr">
        <is>
          <t>ORD0318</t>
        </is>
      </c>
      <c r="B319" s="5" t="n">
        <v>45944</v>
      </c>
      <c r="C319" t="inlineStr">
        <is>
          <t>CUST1073</t>
        </is>
      </c>
      <c r="D319" t="inlineStr">
        <is>
          <t>P1012</t>
        </is>
      </c>
      <c r="E319" t="inlineStr">
        <is>
          <t>Whiteboard</t>
        </is>
      </c>
      <c r="F319" t="inlineStr">
        <is>
          <t>Stationery</t>
        </is>
      </c>
      <c r="G319" t="inlineStr">
        <is>
          <t>Central</t>
        </is>
      </c>
      <c r="H319" t="inlineStr">
        <is>
          <t>Online</t>
        </is>
      </c>
      <c r="I319" t="inlineStr">
        <is>
          <t>Ishaan</t>
        </is>
      </c>
      <c r="J319" t="n">
        <v>5</v>
      </c>
      <c r="K319" s="6" t="n">
        <v>59</v>
      </c>
      <c r="L319" s="7" t="n">
        <v>0</v>
      </c>
      <c r="M319" t="inlineStr">
        <is>
          <t>Completed</t>
        </is>
      </c>
    </row>
    <row r="320">
      <c r="A320" t="inlineStr">
        <is>
          <t>ORD0319</t>
        </is>
      </c>
      <c r="B320" s="5" t="n">
        <v>45795</v>
      </c>
      <c r="C320" t="inlineStr">
        <is>
          <t>CUST1018</t>
        </is>
      </c>
      <c r="D320" t="inlineStr">
        <is>
          <t>P1003</t>
        </is>
      </c>
      <c r="E320" t="inlineStr">
        <is>
          <t>Mechanical Keyboard</t>
        </is>
      </c>
      <c r="F320" t="inlineStr">
        <is>
          <t>Electronics</t>
        </is>
      </c>
      <c r="G320" t="inlineStr">
        <is>
          <t>North</t>
        </is>
      </c>
      <c r="H320" t="inlineStr">
        <is>
          <t>Online</t>
        </is>
      </c>
      <c r="I320" t="inlineStr">
        <is>
          <t>Rohan</t>
        </is>
      </c>
      <c r="J320" t="n">
        <v>1</v>
      </c>
      <c r="K320" s="6" t="n">
        <v>75</v>
      </c>
      <c r="L320" s="7" t="n">
        <v>0.1</v>
      </c>
      <c r="M320" t="inlineStr">
        <is>
          <t>Completed</t>
        </is>
      </c>
    </row>
    <row r="321">
      <c r="A321" t="inlineStr">
        <is>
          <t>ORD0320</t>
        </is>
      </c>
      <c r="B321" s="5" t="n">
        <v>45905</v>
      </c>
      <c r="C321" t="inlineStr">
        <is>
          <t>CUST1032</t>
        </is>
      </c>
      <c r="D321" t="inlineStr">
        <is>
          <t>P1005</t>
        </is>
      </c>
      <c r="E321" t="inlineStr">
        <is>
          <t>Monitor 27 inch</t>
        </is>
      </c>
      <c r="F321" t="inlineStr">
        <is>
          <t>Electronics</t>
        </is>
      </c>
      <c r="G321" t="inlineStr">
        <is>
          <t>South</t>
        </is>
      </c>
      <c r="H321" t="inlineStr">
        <is>
          <t>Marketplace</t>
        </is>
      </c>
      <c r="I321" t="inlineStr">
        <is>
          <t>Meera</t>
        </is>
      </c>
      <c r="J321" t="n">
        <v>4</v>
      </c>
      <c r="K321" s="6" t="n">
        <v>299</v>
      </c>
      <c r="L321" s="7" t="n">
        <v>0.05</v>
      </c>
      <c r="M321" t="inlineStr">
        <is>
          <t>Completed</t>
        </is>
      </c>
    </row>
    <row r="322">
      <c r="A322" t="inlineStr">
        <is>
          <t>ORD0321</t>
        </is>
      </c>
      <c r="B322" s="5" t="n">
        <v>45712</v>
      </c>
      <c r="C322" t="inlineStr">
        <is>
          <t>CUST1050</t>
        </is>
      </c>
      <c r="D322" t="inlineStr">
        <is>
          <t>P1008</t>
        </is>
      </c>
      <c r="E322" t="inlineStr">
        <is>
          <t>Standing Desk</t>
        </is>
      </c>
      <c r="F322" t="inlineStr">
        <is>
          <t>Furniture</t>
        </is>
      </c>
      <c r="G322" t="inlineStr">
        <is>
          <t>East</t>
        </is>
      </c>
      <c r="H322" t="inlineStr">
        <is>
          <t>Marketplace</t>
        </is>
      </c>
      <c r="I322" t="inlineStr">
        <is>
          <t>Anaya</t>
        </is>
      </c>
      <c r="J322" t="n">
        <v>1</v>
      </c>
      <c r="K322" s="6" t="n">
        <v>379</v>
      </c>
      <c r="L322" s="7" t="n">
        <v>0</v>
      </c>
      <c r="M322" t="inlineStr">
        <is>
          <t>Completed</t>
        </is>
      </c>
    </row>
    <row r="323">
      <c r="A323" t="inlineStr">
        <is>
          <t>ORD0322</t>
        </is>
      </c>
      <c r="B323" s="5" t="n">
        <v>45829</v>
      </c>
      <c r="C323" t="inlineStr">
        <is>
          <t>CUST1076</t>
        </is>
      </c>
      <c r="D323" t="inlineStr">
        <is>
          <t>P1008</t>
        </is>
      </c>
      <c r="E323" t="inlineStr">
        <is>
          <t>Standing Desk</t>
        </is>
      </c>
      <c r="F323" t="inlineStr">
        <is>
          <t>Furniture</t>
        </is>
      </c>
      <c r="G323" t="inlineStr">
        <is>
          <t>South</t>
        </is>
      </c>
      <c r="H323" t="inlineStr">
        <is>
          <t>In-store</t>
        </is>
      </c>
      <c r="I323" t="inlineStr">
        <is>
          <t>Meera</t>
        </is>
      </c>
      <c r="J323" t="n">
        <v>2</v>
      </c>
      <c r="K323" s="6" t="n">
        <v>379</v>
      </c>
      <c r="L323" s="7" t="n">
        <v>0.2</v>
      </c>
      <c r="M323" t="inlineStr">
        <is>
          <t>Completed</t>
        </is>
      </c>
    </row>
    <row r="324">
      <c r="A324" t="inlineStr">
        <is>
          <t>ORD0323</t>
        </is>
      </c>
      <c r="B324" s="5" t="n">
        <v>45818</v>
      </c>
      <c r="C324" t="inlineStr">
        <is>
          <t>CUST1040</t>
        </is>
      </c>
      <c r="D324" t="inlineStr">
        <is>
          <t>P1008</t>
        </is>
      </c>
      <c r="E324" t="inlineStr">
        <is>
          <t>Standing Desk</t>
        </is>
      </c>
      <c r="F324" t="inlineStr">
        <is>
          <t>Furniture</t>
        </is>
      </c>
      <c r="G324" t="inlineStr">
        <is>
          <t>East</t>
        </is>
      </c>
      <c r="H324" t="inlineStr">
        <is>
          <t>Marketplace</t>
        </is>
      </c>
      <c r="I324" t="inlineStr">
        <is>
          <t>Sara</t>
        </is>
      </c>
      <c r="J324" t="n">
        <v>1</v>
      </c>
      <c r="K324" s="6" t="n">
        <v>379</v>
      </c>
      <c r="L324" s="7" t="n">
        <v>0.1</v>
      </c>
      <c r="M324" t="inlineStr">
        <is>
          <t>Completed</t>
        </is>
      </c>
    </row>
    <row r="325">
      <c r="A325" t="inlineStr">
        <is>
          <t>ORD0324</t>
        </is>
      </c>
      <c r="B325" s="5" t="n">
        <v>45782</v>
      </c>
      <c r="C325" t="inlineStr">
        <is>
          <t>CUST1050</t>
        </is>
      </c>
      <c r="D325" t="inlineStr">
        <is>
          <t>P1010</t>
        </is>
      </c>
      <c r="E325" t="inlineStr">
        <is>
          <t>Notebook Pack</t>
        </is>
      </c>
      <c r="F325" t="inlineStr">
        <is>
          <t>Stationery</t>
        </is>
      </c>
      <c r="G325" t="inlineStr">
        <is>
          <t>East</t>
        </is>
      </c>
      <c r="H325" t="inlineStr">
        <is>
          <t>Online</t>
        </is>
      </c>
      <c r="I325" t="inlineStr">
        <is>
          <t>Meera</t>
        </is>
      </c>
      <c r="J325" t="n">
        <v>2</v>
      </c>
      <c r="K325" s="6" t="n">
        <v>10</v>
      </c>
      <c r="L325" s="7" t="n">
        <v>0.05</v>
      </c>
      <c r="M325" t="inlineStr">
        <is>
          <t>Pending</t>
        </is>
      </c>
    </row>
    <row r="326">
      <c r="A326" t="inlineStr">
        <is>
          <t>ORD0325</t>
        </is>
      </c>
      <c r="B326" s="5" t="n">
        <v>45937</v>
      </c>
      <c r="C326" t="inlineStr">
        <is>
          <t>CUST1003</t>
        </is>
      </c>
      <c r="D326" t="inlineStr">
        <is>
          <t>P1010</t>
        </is>
      </c>
      <c r="E326" t="inlineStr">
        <is>
          <t>Notebook Pack</t>
        </is>
      </c>
      <c r="F326" t="inlineStr">
        <is>
          <t>Stationery</t>
        </is>
      </c>
      <c r="G326" t="inlineStr">
        <is>
          <t>West</t>
        </is>
      </c>
      <c r="H326" t="inlineStr">
        <is>
          <t>Marketplace</t>
        </is>
      </c>
      <c r="I326" t="inlineStr">
        <is>
          <t>Kabir</t>
        </is>
      </c>
      <c r="J326" t="n">
        <v>1</v>
      </c>
      <c r="K326" s="6" t="n">
        <v>10</v>
      </c>
      <c r="L326" s="7" t="n">
        <v>0.15</v>
      </c>
      <c r="M326" t="inlineStr">
        <is>
          <t>Completed</t>
        </is>
      </c>
    </row>
    <row r="327">
      <c r="A327" t="inlineStr">
        <is>
          <t>ORD0326</t>
        </is>
      </c>
      <c r="B327" s="5" t="n">
        <v>46012</v>
      </c>
      <c r="C327" t="inlineStr">
        <is>
          <t>CUST1063</t>
        </is>
      </c>
      <c r="D327" t="inlineStr">
        <is>
          <t>P1014</t>
        </is>
      </c>
      <c r="E327" t="inlineStr">
        <is>
          <t>Backpack</t>
        </is>
      </c>
      <c r="F327" t="inlineStr">
        <is>
          <t>Accessories</t>
        </is>
      </c>
      <c r="G327" t="inlineStr">
        <is>
          <t>South</t>
        </is>
      </c>
      <c r="H327" t="inlineStr">
        <is>
          <t>Marketplace</t>
        </is>
      </c>
      <c r="I327" t="inlineStr">
        <is>
          <t>Kabir</t>
        </is>
      </c>
      <c r="J327" t="n">
        <v>1</v>
      </c>
      <c r="K327" s="6" t="n">
        <v>49</v>
      </c>
      <c r="L327" s="7" t="n">
        <v>0.1</v>
      </c>
      <c r="M327" t="inlineStr">
        <is>
          <t>Completed</t>
        </is>
      </c>
    </row>
    <row r="328">
      <c r="A328" t="inlineStr">
        <is>
          <t>ORD0327</t>
        </is>
      </c>
      <c r="B328" s="5" t="n">
        <v>45736</v>
      </c>
      <c r="C328" t="inlineStr">
        <is>
          <t>CUST1009</t>
        </is>
      </c>
      <c r="D328" t="inlineStr">
        <is>
          <t>P1011</t>
        </is>
      </c>
      <c r="E328" t="inlineStr">
        <is>
          <t>Pen Set</t>
        </is>
      </c>
      <c r="F328" t="inlineStr">
        <is>
          <t>Stationery</t>
        </is>
      </c>
      <c r="G328" t="inlineStr">
        <is>
          <t>West</t>
        </is>
      </c>
      <c r="H328" t="inlineStr">
        <is>
          <t>Marketplace</t>
        </is>
      </c>
      <c r="I328" t="inlineStr">
        <is>
          <t>Rohan</t>
        </is>
      </c>
      <c r="J328" t="n">
        <v>3</v>
      </c>
      <c r="K328" s="6" t="n">
        <v>8</v>
      </c>
      <c r="L328" s="7" t="n">
        <v>0.1</v>
      </c>
      <c r="M328" t="inlineStr">
        <is>
          <t>Completed</t>
        </is>
      </c>
    </row>
    <row r="329">
      <c r="A329" t="inlineStr">
        <is>
          <t>ORD0328</t>
        </is>
      </c>
      <c r="B329" s="5" t="n">
        <v>45917</v>
      </c>
      <c r="C329" t="inlineStr">
        <is>
          <t>CUST1053</t>
        </is>
      </c>
      <c r="D329" t="inlineStr">
        <is>
          <t>P1009</t>
        </is>
      </c>
      <c r="E329" t="inlineStr">
        <is>
          <t>Desk Lamp</t>
        </is>
      </c>
      <c r="F329" t="inlineStr">
        <is>
          <t>Furniture</t>
        </is>
      </c>
      <c r="G329" t="inlineStr">
        <is>
          <t>Central</t>
        </is>
      </c>
      <c r="H329" t="inlineStr">
        <is>
          <t>Online</t>
        </is>
      </c>
      <c r="I329" t="inlineStr">
        <is>
          <t>Anaya</t>
        </is>
      </c>
      <c r="J329" t="n">
        <v>5</v>
      </c>
      <c r="K329" s="6" t="n">
        <v>39</v>
      </c>
      <c r="L329" s="7" t="n">
        <v>0.2</v>
      </c>
      <c r="M329" t="inlineStr">
        <is>
          <t>Completed</t>
        </is>
      </c>
    </row>
    <row r="330">
      <c r="A330" t="inlineStr">
        <is>
          <t>ORD0329</t>
        </is>
      </c>
      <c r="B330" s="5" t="n">
        <v>45932</v>
      </c>
      <c r="C330" t="inlineStr">
        <is>
          <t>CUST1013</t>
        </is>
      </c>
      <c r="D330" t="inlineStr">
        <is>
          <t>P1012</t>
        </is>
      </c>
      <c r="E330" t="inlineStr">
        <is>
          <t>Whiteboard</t>
        </is>
      </c>
      <c r="F330" t="inlineStr">
        <is>
          <t>Stationery</t>
        </is>
      </c>
      <c r="G330" t="inlineStr">
        <is>
          <t>South</t>
        </is>
      </c>
      <c r="H330" t="inlineStr">
        <is>
          <t>Marketplace</t>
        </is>
      </c>
      <c r="I330" t="inlineStr">
        <is>
          <t>Ishaan</t>
        </is>
      </c>
      <c r="J330" t="n">
        <v>3</v>
      </c>
      <c r="K330" s="6" t="n">
        <v>59</v>
      </c>
      <c r="L330" s="7" t="n">
        <v>0</v>
      </c>
      <c r="M330" t="inlineStr">
        <is>
          <t>Completed</t>
        </is>
      </c>
    </row>
    <row r="331">
      <c r="A331" t="inlineStr">
        <is>
          <t>ORD0330</t>
        </is>
      </c>
      <c r="B331" s="5" t="n">
        <v>45971</v>
      </c>
      <c r="C331" t="inlineStr">
        <is>
          <t>CUST1051</t>
        </is>
      </c>
      <c r="D331" t="inlineStr">
        <is>
          <t>P1011</t>
        </is>
      </c>
      <c r="E331" t="inlineStr">
        <is>
          <t>Pen Set</t>
        </is>
      </c>
      <c r="F331" t="inlineStr">
        <is>
          <t>Stationery</t>
        </is>
      </c>
      <c r="G331" t="inlineStr">
        <is>
          <t>East</t>
        </is>
      </c>
      <c r="H331" t="inlineStr">
        <is>
          <t>In-store</t>
        </is>
      </c>
      <c r="I331" t="inlineStr">
        <is>
          <t>Diya</t>
        </is>
      </c>
      <c r="J331" t="n">
        <v>1</v>
      </c>
      <c r="K331" s="6" t="n">
        <v>8</v>
      </c>
      <c r="L331" s="7" t="n">
        <v>0.2</v>
      </c>
      <c r="M331" t="inlineStr">
        <is>
          <t>Completed</t>
        </is>
      </c>
    </row>
    <row r="332">
      <c r="A332" t="inlineStr">
        <is>
          <t>ORD0331</t>
        </is>
      </c>
      <c r="B332" s="5" t="n">
        <v>45771</v>
      </c>
      <c r="C332" t="inlineStr">
        <is>
          <t>CUST1071</t>
        </is>
      </c>
      <c r="D332" t="inlineStr">
        <is>
          <t>P1005</t>
        </is>
      </c>
      <c r="E332" t="inlineStr">
        <is>
          <t>Monitor 27 inch</t>
        </is>
      </c>
      <c r="F332" t="inlineStr">
        <is>
          <t>Electronics</t>
        </is>
      </c>
      <c r="G332" t="inlineStr">
        <is>
          <t>Central</t>
        </is>
      </c>
      <c r="H332" t="inlineStr">
        <is>
          <t>Marketplace</t>
        </is>
      </c>
      <c r="I332" t="inlineStr">
        <is>
          <t>Sara</t>
        </is>
      </c>
      <c r="J332" t="n">
        <v>2</v>
      </c>
      <c r="K332" s="6" t="n">
        <v>299</v>
      </c>
      <c r="L332" s="7" t="n">
        <v>0.15</v>
      </c>
      <c r="M332" t="inlineStr">
        <is>
          <t>Completed</t>
        </is>
      </c>
    </row>
    <row r="333">
      <c r="A333" t="inlineStr">
        <is>
          <t>ORD0332</t>
        </is>
      </c>
      <c r="B333" s="5" t="n">
        <v>45858</v>
      </c>
      <c r="C333" t="inlineStr">
        <is>
          <t>CUST1075</t>
        </is>
      </c>
      <c r="D333" t="inlineStr">
        <is>
          <t>P1006</t>
        </is>
      </c>
      <c r="E333" t="inlineStr">
        <is>
          <t>Webcam HD</t>
        </is>
      </c>
      <c r="F333" t="inlineStr">
        <is>
          <t>Electronics</t>
        </is>
      </c>
      <c r="G333" t="inlineStr">
        <is>
          <t>Central</t>
        </is>
      </c>
      <c r="H333" t="inlineStr">
        <is>
          <t>Online</t>
        </is>
      </c>
      <c r="I333" t="inlineStr">
        <is>
          <t>Aarav</t>
        </is>
      </c>
      <c r="J333" t="n">
        <v>2</v>
      </c>
      <c r="K333" s="6" t="n">
        <v>69</v>
      </c>
      <c r="L333" s="7" t="n">
        <v>0.2</v>
      </c>
      <c r="M333" t="inlineStr">
        <is>
          <t>Completed</t>
        </is>
      </c>
    </row>
    <row r="334">
      <c r="A334" t="inlineStr">
        <is>
          <t>ORD0333</t>
        </is>
      </c>
      <c r="B334" s="5" t="n">
        <v>45711</v>
      </c>
      <c r="C334" t="inlineStr">
        <is>
          <t>CUST1014</t>
        </is>
      </c>
      <c r="D334" t="inlineStr">
        <is>
          <t>P1008</t>
        </is>
      </c>
      <c r="E334" t="inlineStr">
        <is>
          <t>Standing Desk</t>
        </is>
      </c>
      <c r="F334" t="inlineStr">
        <is>
          <t>Furniture</t>
        </is>
      </c>
      <c r="G334" t="inlineStr">
        <is>
          <t>South</t>
        </is>
      </c>
      <c r="H334" t="inlineStr">
        <is>
          <t>In-store</t>
        </is>
      </c>
      <c r="I334" t="inlineStr">
        <is>
          <t>Sara</t>
        </is>
      </c>
      <c r="J334" t="n">
        <v>1</v>
      </c>
      <c r="K334" s="6" t="n">
        <v>379</v>
      </c>
      <c r="L334" s="7" t="n">
        <v>0</v>
      </c>
      <c r="M334" t="inlineStr">
        <is>
          <t>Completed</t>
        </is>
      </c>
    </row>
    <row r="335">
      <c r="A335" t="inlineStr">
        <is>
          <t>ORD0334</t>
        </is>
      </c>
      <c r="B335" s="5" t="n">
        <v>45763</v>
      </c>
      <c r="C335" t="inlineStr">
        <is>
          <t>CUST1060</t>
        </is>
      </c>
      <c r="D335" t="inlineStr">
        <is>
          <t>P1013</t>
        </is>
      </c>
      <c r="E335" t="inlineStr">
        <is>
          <t>Water Bottle</t>
        </is>
      </c>
      <c r="F335" t="inlineStr">
        <is>
          <t>Accessories</t>
        </is>
      </c>
      <c r="G335" t="inlineStr">
        <is>
          <t>North</t>
        </is>
      </c>
      <c r="H335" t="inlineStr">
        <is>
          <t>In-store</t>
        </is>
      </c>
      <c r="I335" t="inlineStr">
        <is>
          <t>Sara</t>
        </is>
      </c>
      <c r="J335" t="n">
        <v>2</v>
      </c>
      <c r="K335" s="6" t="n">
        <v>18</v>
      </c>
      <c r="L335" s="7" t="n">
        <v>0.05</v>
      </c>
      <c r="M335" t="inlineStr">
        <is>
          <t>Completed</t>
        </is>
      </c>
    </row>
    <row r="336">
      <c r="A336" t="inlineStr">
        <is>
          <t>ORD0335</t>
        </is>
      </c>
      <c r="B336" s="5" t="n">
        <v>45692</v>
      </c>
      <c r="C336" t="inlineStr">
        <is>
          <t>CUST1014</t>
        </is>
      </c>
      <c r="D336" t="inlineStr">
        <is>
          <t>P1006</t>
        </is>
      </c>
      <c r="E336" t="inlineStr">
        <is>
          <t>Webcam HD</t>
        </is>
      </c>
      <c r="F336" t="inlineStr">
        <is>
          <t>Electronics</t>
        </is>
      </c>
      <c r="G336" t="inlineStr">
        <is>
          <t>North</t>
        </is>
      </c>
      <c r="H336" t="inlineStr">
        <is>
          <t>In-store</t>
        </is>
      </c>
      <c r="I336" t="inlineStr">
        <is>
          <t>Ishaan</t>
        </is>
      </c>
      <c r="J336" t="n">
        <v>1</v>
      </c>
      <c r="K336" s="6" t="n">
        <v>69</v>
      </c>
      <c r="L336" s="7" t="n">
        <v>0.2</v>
      </c>
      <c r="M336" t="inlineStr">
        <is>
          <t>Completed</t>
        </is>
      </c>
    </row>
    <row r="337">
      <c r="A337" t="inlineStr">
        <is>
          <t>ORD0336</t>
        </is>
      </c>
      <c r="B337" s="5" t="n">
        <v>45782</v>
      </c>
      <c r="C337" t="inlineStr">
        <is>
          <t>CUST1020</t>
        </is>
      </c>
      <c r="D337" t="inlineStr">
        <is>
          <t>P1015</t>
        </is>
      </c>
      <c r="E337" t="inlineStr">
        <is>
          <t>Phone Stand</t>
        </is>
      </c>
      <c r="F337" t="inlineStr">
        <is>
          <t>Accessories</t>
        </is>
      </c>
      <c r="G337" t="inlineStr">
        <is>
          <t>East</t>
        </is>
      </c>
      <c r="H337" t="inlineStr">
        <is>
          <t>Marketplace</t>
        </is>
      </c>
      <c r="I337" t="inlineStr">
        <is>
          <t>Sara</t>
        </is>
      </c>
      <c r="J337" t="n">
        <v>2</v>
      </c>
      <c r="K337" s="6" t="n">
        <v>16</v>
      </c>
      <c r="L337" s="7" t="n">
        <v>0.15</v>
      </c>
      <c r="M337" t="inlineStr">
        <is>
          <t>Completed</t>
        </is>
      </c>
    </row>
    <row r="338">
      <c r="A338" t="inlineStr">
        <is>
          <t>ORD0337</t>
        </is>
      </c>
      <c r="B338" s="5" t="n">
        <v>45865</v>
      </c>
      <c r="C338" t="inlineStr">
        <is>
          <t>CUST1055</t>
        </is>
      </c>
      <c r="D338" t="inlineStr">
        <is>
          <t>P1004</t>
        </is>
      </c>
      <c r="E338" t="inlineStr">
        <is>
          <t>USB-C Hub</t>
        </is>
      </c>
      <c r="F338" t="inlineStr">
        <is>
          <t>Electronics</t>
        </is>
      </c>
      <c r="G338" t="inlineStr">
        <is>
          <t>West</t>
        </is>
      </c>
      <c r="H338" t="inlineStr">
        <is>
          <t>Online</t>
        </is>
      </c>
      <c r="I338" t="inlineStr">
        <is>
          <t>Meera</t>
        </is>
      </c>
      <c r="J338" t="n">
        <v>3</v>
      </c>
      <c r="K338" s="6" t="n">
        <v>49</v>
      </c>
      <c r="L338" s="7" t="n">
        <v>0</v>
      </c>
      <c r="M338" t="inlineStr">
        <is>
          <t>Completed</t>
        </is>
      </c>
    </row>
    <row r="339">
      <c r="A339" t="inlineStr">
        <is>
          <t>ORD0338</t>
        </is>
      </c>
      <c r="B339" s="5" t="n">
        <v>45961</v>
      </c>
      <c r="C339" t="inlineStr">
        <is>
          <t>CUST1027</t>
        </is>
      </c>
      <c r="D339" t="inlineStr">
        <is>
          <t>P1008</t>
        </is>
      </c>
      <c r="E339" t="inlineStr">
        <is>
          <t>Standing Desk</t>
        </is>
      </c>
      <c r="F339" t="inlineStr">
        <is>
          <t>Furniture</t>
        </is>
      </c>
      <c r="G339" t="inlineStr">
        <is>
          <t>South</t>
        </is>
      </c>
      <c r="H339" t="inlineStr">
        <is>
          <t>In-store</t>
        </is>
      </c>
      <c r="I339" t="inlineStr">
        <is>
          <t>Diya</t>
        </is>
      </c>
      <c r="J339" t="n">
        <v>2</v>
      </c>
      <c r="K339" s="6" t="n">
        <v>379</v>
      </c>
      <c r="L339" s="7" t="n">
        <v>0</v>
      </c>
      <c r="M339" t="inlineStr">
        <is>
          <t>Completed</t>
        </is>
      </c>
    </row>
    <row r="340">
      <c r="A340" t="inlineStr">
        <is>
          <t>ORD0339</t>
        </is>
      </c>
      <c r="B340" s="5" t="n">
        <v>45710</v>
      </c>
      <c r="C340" t="inlineStr">
        <is>
          <t>CUST1023</t>
        </is>
      </c>
      <c r="D340" t="inlineStr">
        <is>
          <t>P1010</t>
        </is>
      </c>
      <c r="E340" t="inlineStr">
        <is>
          <t>Notebook Pack</t>
        </is>
      </c>
      <c r="F340" t="inlineStr">
        <is>
          <t>Stationery</t>
        </is>
      </c>
      <c r="G340" t="inlineStr">
        <is>
          <t>East</t>
        </is>
      </c>
      <c r="H340" t="inlineStr">
        <is>
          <t>In-store</t>
        </is>
      </c>
      <c r="I340" t="inlineStr">
        <is>
          <t>Diya</t>
        </is>
      </c>
      <c r="J340" t="n">
        <v>4</v>
      </c>
      <c r="K340" s="6" t="n">
        <v>10</v>
      </c>
      <c r="L340" s="7" t="n">
        <v>0.15</v>
      </c>
      <c r="M340" t="inlineStr">
        <is>
          <t>Completed</t>
        </is>
      </c>
    </row>
    <row r="341">
      <c r="A341" t="inlineStr">
        <is>
          <t>ORD0340</t>
        </is>
      </c>
      <c r="B341" s="5" t="n">
        <v>46001</v>
      </c>
      <c r="C341" t="inlineStr">
        <is>
          <t>CUST1040</t>
        </is>
      </c>
      <c r="D341" t="inlineStr">
        <is>
          <t>P1005</t>
        </is>
      </c>
      <c r="E341" t="inlineStr">
        <is>
          <t>Monitor 27 inch</t>
        </is>
      </c>
      <c r="F341" t="inlineStr">
        <is>
          <t>Electronics</t>
        </is>
      </c>
      <c r="G341" t="inlineStr">
        <is>
          <t>Central</t>
        </is>
      </c>
      <c r="H341" t="inlineStr">
        <is>
          <t>In-store</t>
        </is>
      </c>
      <c r="I341" t="inlineStr">
        <is>
          <t>Diya</t>
        </is>
      </c>
      <c r="J341" t="n">
        <v>5</v>
      </c>
      <c r="K341" s="6" t="n">
        <v>299</v>
      </c>
      <c r="L341" s="7" t="n">
        <v>0.15</v>
      </c>
      <c r="M341" t="inlineStr">
        <is>
          <t>Completed</t>
        </is>
      </c>
    </row>
    <row r="342">
      <c r="A342" t="inlineStr">
        <is>
          <t>ORD0341</t>
        </is>
      </c>
      <c r="B342" s="5" t="n">
        <v>45838</v>
      </c>
      <c r="C342" t="inlineStr">
        <is>
          <t>CUST1022</t>
        </is>
      </c>
      <c r="D342" t="inlineStr">
        <is>
          <t>P1006</t>
        </is>
      </c>
      <c r="E342" t="inlineStr">
        <is>
          <t>Webcam HD</t>
        </is>
      </c>
      <c r="F342" t="inlineStr">
        <is>
          <t>Electronics</t>
        </is>
      </c>
      <c r="G342" t="inlineStr">
        <is>
          <t>East</t>
        </is>
      </c>
      <c r="H342" t="inlineStr">
        <is>
          <t>Marketplace</t>
        </is>
      </c>
      <c r="I342" t="inlineStr">
        <is>
          <t>Ishaan</t>
        </is>
      </c>
      <c r="J342" t="n">
        <v>4</v>
      </c>
      <c r="K342" s="6" t="n">
        <v>69</v>
      </c>
      <c r="L342" s="7" t="n">
        <v>0.15</v>
      </c>
      <c r="M342" t="inlineStr">
        <is>
          <t>Completed</t>
        </is>
      </c>
    </row>
    <row r="343">
      <c r="A343" t="inlineStr">
        <is>
          <t>ORD0342</t>
        </is>
      </c>
      <c r="B343" s="5" t="n">
        <v>45718</v>
      </c>
      <c r="C343" t="inlineStr">
        <is>
          <t>CUST1023</t>
        </is>
      </c>
      <c r="D343" t="inlineStr">
        <is>
          <t>P1006</t>
        </is>
      </c>
      <c r="E343" t="inlineStr">
        <is>
          <t>Webcam HD</t>
        </is>
      </c>
      <c r="F343" t="inlineStr">
        <is>
          <t>Electronics</t>
        </is>
      </c>
      <c r="G343" t="inlineStr">
        <is>
          <t>East</t>
        </is>
      </c>
      <c r="H343" t="inlineStr">
        <is>
          <t>Marketplace</t>
        </is>
      </c>
      <c r="I343" t="inlineStr">
        <is>
          <t>Rohan</t>
        </is>
      </c>
      <c r="J343" t="n">
        <v>1</v>
      </c>
      <c r="K343" s="6" t="n">
        <v>69</v>
      </c>
      <c r="L343" s="7" t="n">
        <v>0</v>
      </c>
      <c r="M343" t="inlineStr">
        <is>
          <t>Completed</t>
        </is>
      </c>
    </row>
    <row r="344">
      <c r="A344" t="inlineStr">
        <is>
          <t>ORD0343</t>
        </is>
      </c>
      <c r="B344" s="5" t="n">
        <v>45963</v>
      </c>
      <c r="C344" t="inlineStr">
        <is>
          <t>CUST1054</t>
        </is>
      </c>
      <c r="D344" t="inlineStr">
        <is>
          <t>P1007</t>
        </is>
      </c>
      <c r="E344" t="inlineStr">
        <is>
          <t>Office Chair</t>
        </is>
      </c>
      <c r="F344" t="inlineStr">
        <is>
          <t>Furniture</t>
        </is>
      </c>
      <c r="G344" t="inlineStr">
        <is>
          <t>South</t>
        </is>
      </c>
      <c r="H344" t="inlineStr">
        <is>
          <t>In-store</t>
        </is>
      </c>
      <c r="I344" t="inlineStr">
        <is>
          <t>Ishaan</t>
        </is>
      </c>
      <c r="J344" t="n">
        <v>1</v>
      </c>
      <c r="K344" s="6" t="n">
        <v>179</v>
      </c>
      <c r="L344" s="7" t="n">
        <v>0.1</v>
      </c>
      <c r="M344" t="inlineStr">
        <is>
          <t>Completed</t>
        </is>
      </c>
    </row>
    <row r="345">
      <c r="A345" t="inlineStr">
        <is>
          <t>ORD0344</t>
        </is>
      </c>
      <c r="B345" s="5" t="n">
        <v>45743</v>
      </c>
      <c r="C345" t="inlineStr">
        <is>
          <t>CUST1023</t>
        </is>
      </c>
      <c r="D345" t="inlineStr">
        <is>
          <t>P1009</t>
        </is>
      </c>
      <c r="E345" t="inlineStr">
        <is>
          <t>Desk Lamp</t>
        </is>
      </c>
      <c r="F345" t="inlineStr">
        <is>
          <t>Furniture</t>
        </is>
      </c>
      <c r="G345" t="inlineStr">
        <is>
          <t>East</t>
        </is>
      </c>
      <c r="H345" t="inlineStr">
        <is>
          <t>In-store</t>
        </is>
      </c>
      <c r="I345" t="inlineStr">
        <is>
          <t>Anaya</t>
        </is>
      </c>
      <c r="J345" t="n">
        <v>2</v>
      </c>
      <c r="K345" s="6" t="n">
        <v>39</v>
      </c>
      <c r="L345" s="7" t="n">
        <v>0</v>
      </c>
      <c r="M345" t="inlineStr">
        <is>
          <t>Completed</t>
        </is>
      </c>
    </row>
    <row r="346">
      <c r="A346" t="inlineStr">
        <is>
          <t>ORD0345</t>
        </is>
      </c>
      <c r="B346" s="5" t="n">
        <v>45906</v>
      </c>
      <c r="C346" t="inlineStr">
        <is>
          <t>CUST1071</t>
        </is>
      </c>
      <c r="D346" t="inlineStr">
        <is>
          <t>P1001</t>
        </is>
      </c>
      <c r="E346" t="inlineStr">
        <is>
          <t>Laptop Pro 14</t>
        </is>
      </c>
      <c r="F346" t="inlineStr">
        <is>
          <t>Electronics</t>
        </is>
      </c>
      <c r="G346" t="inlineStr">
        <is>
          <t>Central</t>
        </is>
      </c>
      <c r="H346" t="inlineStr">
        <is>
          <t>Marketplace</t>
        </is>
      </c>
      <c r="I346" t="inlineStr">
        <is>
          <t>Sara</t>
        </is>
      </c>
      <c r="J346" t="n">
        <v>1</v>
      </c>
      <c r="K346" s="6" t="n">
        <v>1150</v>
      </c>
      <c r="L346" s="7" t="n">
        <v>0.1</v>
      </c>
      <c r="M346" t="inlineStr">
        <is>
          <t>Completed</t>
        </is>
      </c>
    </row>
    <row r="347">
      <c r="A347" t="inlineStr">
        <is>
          <t>ORD0346</t>
        </is>
      </c>
      <c r="B347" s="5" t="n">
        <v>46021</v>
      </c>
      <c r="C347" t="inlineStr">
        <is>
          <t>CUST1021</t>
        </is>
      </c>
      <c r="D347" t="inlineStr">
        <is>
          <t>P1007</t>
        </is>
      </c>
      <c r="E347" t="inlineStr">
        <is>
          <t>Office Chair</t>
        </is>
      </c>
      <c r="F347" t="inlineStr">
        <is>
          <t>Furniture</t>
        </is>
      </c>
      <c r="G347" t="inlineStr">
        <is>
          <t>North</t>
        </is>
      </c>
      <c r="H347" t="inlineStr">
        <is>
          <t>Marketplace</t>
        </is>
      </c>
      <c r="I347" t="inlineStr">
        <is>
          <t>Meera</t>
        </is>
      </c>
      <c r="J347" t="n">
        <v>4</v>
      </c>
      <c r="K347" s="6" t="n">
        <v>179</v>
      </c>
      <c r="L347" s="7" t="n">
        <v>0.1</v>
      </c>
      <c r="M347" t="inlineStr">
        <is>
          <t>Completed</t>
        </is>
      </c>
    </row>
    <row r="348">
      <c r="A348" t="inlineStr">
        <is>
          <t>ORD0347</t>
        </is>
      </c>
      <c r="B348" s="5" t="n">
        <v>45674</v>
      </c>
      <c r="C348" t="inlineStr">
        <is>
          <t>CUST1036</t>
        </is>
      </c>
      <c r="D348" t="inlineStr">
        <is>
          <t>P1005</t>
        </is>
      </c>
      <c r="E348" t="inlineStr">
        <is>
          <t>Monitor 27 inch</t>
        </is>
      </c>
      <c r="F348" t="inlineStr">
        <is>
          <t>Electronics</t>
        </is>
      </c>
      <c r="G348" t="inlineStr">
        <is>
          <t>South</t>
        </is>
      </c>
      <c r="H348" t="inlineStr">
        <is>
          <t>In-store</t>
        </is>
      </c>
      <c r="I348" t="inlineStr">
        <is>
          <t>Sara</t>
        </is>
      </c>
      <c r="J348" t="n">
        <v>1</v>
      </c>
      <c r="K348" s="6" t="n">
        <v>299</v>
      </c>
      <c r="L348" s="7" t="n">
        <v>0.15</v>
      </c>
      <c r="M348" t="inlineStr">
        <is>
          <t>Completed</t>
        </is>
      </c>
    </row>
    <row r="349">
      <c r="A349" t="inlineStr">
        <is>
          <t>ORD0348</t>
        </is>
      </c>
      <c r="B349" s="5" t="n">
        <v>45919</v>
      </c>
      <c r="C349" t="inlineStr">
        <is>
          <t>CUST1034</t>
        </is>
      </c>
      <c r="D349" t="inlineStr">
        <is>
          <t>P1009</t>
        </is>
      </c>
      <c r="E349" t="inlineStr">
        <is>
          <t>Desk Lamp</t>
        </is>
      </c>
      <c r="F349" t="inlineStr">
        <is>
          <t>Furniture</t>
        </is>
      </c>
      <c r="G349" t="inlineStr">
        <is>
          <t>Central</t>
        </is>
      </c>
      <c r="H349" t="inlineStr">
        <is>
          <t>In-store</t>
        </is>
      </c>
      <c r="I349" t="inlineStr">
        <is>
          <t>Aarav</t>
        </is>
      </c>
      <c r="J349" t="n">
        <v>1</v>
      </c>
      <c r="K349" s="6" t="n">
        <v>39</v>
      </c>
      <c r="L349" s="7" t="n">
        <v>0</v>
      </c>
      <c r="M349" t="inlineStr">
        <is>
          <t>Completed</t>
        </is>
      </c>
    </row>
    <row r="350">
      <c r="A350" t="inlineStr">
        <is>
          <t>ORD0349</t>
        </is>
      </c>
      <c r="B350" s="5" t="n">
        <v>45883</v>
      </c>
      <c r="C350" t="inlineStr">
        <is>
          <t>CUST1013</t>
        </is>
      </c>
      <c r="D350" t="inlineStr">
        <is>
          <t>P1013</t>
        </is>
      </c>
      <c r="E350" t="inlineStr">
        <is>
          <t>Water Bottle</t>
        </is>
      </c>
      <c r="F350" t="inlineStr">
        <is>
          <t>Accessories</t>
        </is>
      </c>
      <c r="G350" t="inlineStr">
        <is>
          <t>South</t>
        </is>
      </c>
      <c r="H350" t="inlineStr">
        <is>
          <t>In-store</t>
        </is>
      </c>
      <c r="I350" t="inlineStr">
        <is>
          <t>Aarav</t>
        </is>
      </c>
      <c r="J350" t="n">
        <v>2</v>
      </c>
      <c r="K350" s="6" t="n">
        <v>18</v>
      </c>
      <c r="L350" s="7" t="n">
        <v>0.1</v>
      </c>
      <c r="M350" t="inlineStr">
        <is>
          <t>Completed</t>
        </is>
      </c>
    </row>
    <row r="351">
      <c r="A351" t="inlineStr">
        <is>
          <t>ORD0350</t>
        </is>
      </c>
      <c r="B351" s="5" t="n">
        <v>45792</v>
      </c>
      <c r="C351" t="inlineStr">
        <is>
          <t>CUST1056</t>
        </is>
      </c>
      <c r="D351" t="inlineStr">
        <is>
          <t>P1008</t>
        </is>
      </c>
      <c r="E351" t="inlineStr">
        <is>
          <t>Standing Desk</t>
        </is>
      </c>
      <c r="F351" t="inlineStr">
        <is>
          <t>Furniture</t>
        </is>
      </c>
      <c r="G351" t="inlineStr">
        <is>
          <t>North</t>
        </is>
      </c>
      <c r="H351" t="inlineStr">
        <is>
          <t>Online</t>
        </is>
      </c>
      <c r="I351" t="inlineStr">
        <is>
          <t>Anaya</t>
        </is>
      </c>
      <c r="J351" t="n">
        <v>2</v>
      </c>
      <c r="K351" s="6" t="n">
        <v>379</v>
      </c>
      <c r="L351" s="7" t="n">
        <v>0</v>
      </c>
      <c r="M351" t="inlineStr">
        <is>
          <t>Completed</t>
        </is>
      </c>
    </row>
    <row r="352">
      <c r="A352" t="inlineStr">
        <is>
          <t>ORD0351</t>
        </is>
      </c>
      <c r="B352" s="5" t="n">
        <v>46021</v>
      </c>
      <c r="C352" t="inlineStr">
        <is>
          <t>CUST1021</t>
        </is>
      </c>
      <c r="D352" t="inlineStr">
        <is>
          <t>P1014</t>
        </is>
      </c>
      <c r="E352" t="inlineStr">
        <is>
          <t>Backpack</t>
        </is>
      </c>
      <c r="F352" t="inlineStr">
        <is>
          <t>Accessories</t>
        </is>
      </c>
      <c r="G352" t="inlineStr">
        <is>
          <t>Central</t>
        </is>
      </c>
      <c r="H352" t="inlineStr">
        <is>
          <t>Online</t>
        </is>
      </c>
      <c r="I352" t="inlineStr">
        <is>
          <t>Meera</t>
        </is>
      </c>
      <c r="J352" t="n">
        <v>3</v>
      </c>
      <c r="K352" s="6" t="n">
        <v>49</v>
      </c>
      <c r="L352" s="7" t="n">
        <v>0.1</v>
      </c>
      <c r="M352" t="inlineStr">
        <is>
          <t>Completed</t>
        </is>
      </c>
    </row>
    <row r="353">
      <c r="A353" t="inlineStr">
        <is>
          <t>ORD0352</t>
        </is>
      </c>
      <c r="B353" s="5" t="n">
        <v>45688</v>
      </c>
      <c r="C353" t="inlineStr">
        <is>
          <t>CUST1035</t>
        </is>
      </c>
      <c r="D353" t="inlineStr">
        <is>
          <t>P1013</t>
        </is>
      </c>
      <c r="E353" t="inlineStr">
        <is>
          <t>Water Bottle</t>
        </is>
      </c>
      <c r="F353" t="inlineStr">
        <is>
          <t>Accessories</t>
        </is>
      </c>
      <c r="G353" t="inlineStr">
        <is>
          <t>Central</t>
        </is>
      </c>
      <c r="H353" t="inlineStr">
        <is>
          <t>Marketplace</t>
        </is>
      </c>
      <c r="I353" t="inlineStr">
        <is>
          <t>Kabir</t>
        </is>
      </c>
      <c r="J353" t="n">
        <v>2</v>
      </c>
      <c r="K353" s="6" t="n">
        <v>18</v>
      </c>
      <c r="L353" s="7" t="n">
        <v>0.15</v>
      </c>
      <c r="M353" t="inlineStr">
        <is>
          <t>Completed</t>
        </is>
      </c>
    </row>
    <row r="354">
      <c r="A354" t="inlineStr">
        <is>
          <t>ORD0353</t>
        </is>
      </c>
      <c r="B354" s="5" t="n">
        <v>45951</v>
      </c>
      <c r="C354" t="inlineStr">
        <is>
          <t>CUST1012</t>
        </is>
      </c>
      <c r="D354" t="inlineStr">
        <is>
          <t>P1005</t>
        </is>
      </c>
      <c r="E354" t="inlineStr">
        <is>
          <t>Monitor 27 inch</t>
        </is>
      </c>
      <c r="F354" t="inlineStr">
        <is>
          <t>Electronics</t>
        </is>
      </c>
      <c r="G354" t="inlineStr">
        <is>
          <t>South</t>
        </is>
      </c>
      <c r="H354" t="inlineStr">
        <is>
          <t>In-store</t>
        </is>
      </c>
      <c r="I354" t="inlineStr">
        <is>
          <t>Kabir</t>
        </is>
      </c>
      <c r="J354" t="n">
        <v>1</v>
      </c>
      <c r="K354" s="6" t="n">
        <v>299</v>
      </c>
      <c r="L354" s="7" t="n">
        <v>0.15</v>
      </c>
      <c r="M354" t="inlineStr">
        <is>
          <t>Pending</t>
        </is>
      </c>
    </row>
    <row r="355">
      <c r="A355" t="inlineStr">
        <is>
          <t>ORD0354</t>
        </is>
      </c>
      <c r="B355" s="5" t="n">
        <v>45993</v>
      </c>
      <c r="C355" t="inlineStr">
        <is>
          <t>CUST1031</t>
        </is>
      </c>
      <c r="D355" t="inlineStr">
        <is>
          <t>P1014</t>
        </is>
      </c>
      <c r="E355" t="inlineStr">
        <is>
          <t>Backpack</t>
        </is>
      </c>
      <c r="F355" t="inlineStr">
        <is>
          <t>Accessories</t>
        </is>
      </c>
      <c r="G355" t="inlineStr">
        <is>
          <t>South</t>
        </is>
      </c>
      <c r="H355" t="inlineStr">
        <is>
          <t>Marketplace</t>
        </is>
      </c>
      <c r="I355" t="inlineStr">
        <is>
          <t>Meera</t>
        </is>
      </c>
      <c r="J355" t="n">
        <v>1</v>
      </c>
      <c r="K355" s="6" t="n">
        <v>49</v>
      </c>
      <c r="L355" s="7" t="n">
        <v>0</v>
      </c>
      <c r="M355" t="inlineStr">
        <is>
          <t>Completed</t>
        </is>
      </c>
    </row>
    <row r="356">
      <c r="A356" t="inlineStr">
        <is>
          <t>ORD0355</t>
        </is>
      </c>
      <c r="B356" s="5" t="n">
        <v>46004</v>
      </c>
      <c r="C356" t="inlineStr">
        <is>
          <t>CUST1073</t>
        </is>
      </c>
      <c r="D356" t="inlineStr">
        <is>
          <t>P1013</t>
        </is>
      </c>
      <c r="E356" t="inlineStr">
        <is>
          <t>Water Bottle</t>
        </is>
      </c>
      <c r="F356" t="inlineStr">
        <is>
          <t>Accessories</t>
        </is>
      </c>
      <c r="G356" t="inlineStr">
        <is>
          <t>East</t>
        </is>
      </c>
      <c r="H356" t="inlineStr">
        <is>
          <t>Marketplace</t>
        </is>
      </c>
      <c r="I356" t="inlineStr">
        <is>
          <t>Sara</t>
        </is>
      </c>
      <c r="J356" t="n">
        <v>2</v>
      </c>
      <c r="K356" s="6" t="n">
        <v>18</v>
      </c>
      <c r="L356" s="7" t="n">
        <v>0</v>
      </c>
      <c r="M356" t="inlineStr">
        <is>
          <t>Completed</t>
        </is>
      </c>
    </row>
    <row r="357">
      <c r="A357" t="inlineStr">
        <is>
          <t>ORD0356</t>
        </is>
      </c>
      <c r="B357" s="5" t="n">
        <v>45982</v>
      </c>
      <c r="C357" t="inlineStr">
        <is>
          <t>CUST1051</t>
        </is>
      </c>
      <c r="D357" t="inlineStr">
        <is>
          <t>P1002</t>
        </is>
      </c>
      <c r="E357" t="inlineStr">
        <is>
          <t>Wireless Mouse</t>
        </is>
      </c>
      <c r="F357" t="inlineStr">
        <is>
          <t>Electronics</t>
        </is>
      </c>
      <c r="G357" t="inlineStr">
        <is>
          <t>Central</t>
        </is>
      </c>
      <c r="H357" t="inlineStr">
        <is>
          <t>Marketplace</t>
        </is>
      </c>
      <c r="I357" t="inlineStr">
        <is>
          <t>Anaya</t>
        </is>
      </c>
      <c r="J357" t="n">
        <v>4</v>
      </c>
      <c r="K357" s="6" t="n">
        <v>25</v>
      </c>
      <c r="L357" s="7" t="n">
        <v>0</v>
      </c>
      <c r="M357" t="inlineStr">
        <is>
          <t>Completed</t>
        </is>
      </c>
    </row>
    <row r="358">
      <c r="A358" t="inlineStr">
        <is>
          <t>ORD0357</t>
        </is>
      </c>
      <c r="B358" s="5" t="n">
        <v>45907</v>
      </c>
      <c r="C358" t="inlineStr">
        <is>
          <t>CUST1011</t>
        </is>
      </c>
      <c r="D358" t="inlineStr">
        <is>
          <t>P1008</t>
        </is>
      </c>
      <c r="E358" t="inlineStr">
        <is>
          <t>Standing Desk</t>
        </is>
      </c>
      <c r="F358" t="inlineStr">
        <is>
          <t>Furniture</t>
        </is>
      </c>
      <c r="G358" t="inlineStr">
        <is>
          <t>West</t>
        </is>
      </c>
      <c r="H358" t="inlineStr">
        <is>
          <t>Marketplace</t>
        </is>
      </c>
      <c r="I358" t="inlineStr">
        <is>
          <t>Anaya</t>
        </is>
      </c>
      <c r="J358" t="n">
        <v>2</v>
      </c>
      <c r="K358" s="6" t="n">
        <v>379</v>
      </c>
      <c r="L358" s="7" t="n">
        <v>0</v>
      </c>
      <c r="M358" t="inlineStr">
        <is>
          <t>Completed</t>
        </is>
      </c>
    </row>
    <row r="359">
      <c r="A359" t="inlineStr">
        <is>
          <t>ORD0358</t>
        </is>
      </c>
      <c r="B359" s="5" t="n">
        <v>45690</v>
      </c>
      <c r="C359" t="inlineStr">
        <is>
          <t>CUST1027</t>
        </is>
      </c>
      <c r="D359" t="inlineStr">
        <is>
          <t>P1014</t>
        </is>
      </c>
      <c r="E359" t="inlineStr">
        <is>
          <t>Backpack</t>
        </is>
      </c>
      <c r="F359" t="inlineStr">
        <is>
          <t>Accessories</t>
        </is>
      </c>
      <c r="G359" t="inlineStr">
        <is>
          <t>West</t>
        </is>
      </c>
      <c r="H359" t="inlineStr">
        <is>
          <t>Online</t>
        </is>
      </c>
      <c r="I359" t="inlineStr">
        <is>
          <t>Anaya</t>
        </is>
      </c>
      <c r="J359" t="n">
        <v>4</v>
      </c>
      <c r="K359" s="6" t="n">
        <v>49</v>
      </c>
      <c r="L359" s="7" t="n">
        <v>0.1</v>
      </c>
      <c r="M359" t="inlineStr">
        <is>
          <t>Completed</t>
        </is>
      </c>
    </row>
    <row r="360">
      <c r="A360" t="inlineStr">
        <is>
          <t>ORD0359</t>
        </is>
      </c>
      <c r="B360" s="5" t="n">
        <v>45803</v>
      </c>
      <c r="C360" t="inlineStr">
        <is>
          <t>CUST1016</t>
        </is>
      </c>
      <c r="D360" t="inlineStr">
        <is>
          <t>P1014</t>
        </is>
      </c>
      <c r="E360" t="inlineStr">
        <is>
          <t>Backpack</t>
        </is>
      </c>
      <c r="F360" t="inlineStr">
        <is>
          <t>Accessories</t>
        </is>
      </c>
      <c r="G360" t="inlineStr">
        <is>
          <t>Central</t>
        </is>
      </c>
      <c r="H360" t="inlineStr">
        <is>
          <t>In-store</t>
        </is>
      </c>
      <c r="I360" t="inlineStr">
        <is>
          <t>Aarav</t>
        </is>
      </c>
      <c r="J360" t="n">
        <v>2</v>
      </c>
      <c r="K360" s="6" t="n">
        <v>49</v>
      </c>
      <c r="L360" s="7" t="n">
        <v>0.15</v>
      </c>
      <c r="M360" t="inlineStr">
        <is>
          <t>Completed</t>
        </is>
      </c>
    </row>
    <row r="361">
      <c r="A361" t="inlineStr">
        <is>
          <t>ORD0360</t>
        </is>
      </c>
      <c r="B361" s="5" t="n">
        <v>45708</v>
      </c>
      <c r="C361" t="inlineStr">
        <is>
          <t>CUST1002</t>
        </is>
      </c>
      <c r="D361" t="inlineStr">
        <is>
          <t>P1001</t>
        </is>
      </c>
      <c r="E361" t="inlineStr">
        <is>
          <t>Laptop Pro 14</t>
        </is>
      </c>
      <c r="F361" t="inlineStr">
        <is>
          <t>Electronics</t>
        </is>
      </c>
      <c r="G361" t="inlineStr">
        <is>
          <t>North</t>
        </is>
      </c>
      <c r="H361" t="inlineStr">
        <is>
          <t>Online</t>
        </is>
      </c>
      <c r="I361" t="inlineStr">
        <is>
          <t>Aarav</t>
        </is>
      </c>
      <c r="J361" t="n">
        <v>3</v>
      </c>
      <c r="K361" s="6" t="n">
        <v>1150</v>
      </c>
      <c r="L361" s="7" t="n">
        <v>0.1</v>
      </c>
      <c r="M361" t="inlineStr">
        <is>
          <t>Completed</t>
        </is>
      </c>
    </row>
    <row r="362">
      <c r="A362" t="inlineStr">
        <is>
          <t>ORD0361</t>
        </is>
      </c>
      <c r="B362" s="5" t="n">
        <v>45761</v>
      </c>
      <c r="C362" t="inlineStr">
        <is>
          <t>CUST1038</t>
        </is>
      </c>
      <c r="D362" t="inlineStr">
        <is>
          <t>P1007</t>
        </is>
      </c>
      <c r="E362" t="inlineStr">
        <is>
          <t>Office Chair</t>
        </is>
      </c>
      <c r="F362" t="inlineStr">
        <is>
          <t>Furniture</t>
        </is>
      </c>
      <c r="G362" t="inlineStr">
        <is>
          <t>South</t>
        </is>
      </c>
      <c r="H362" t="inlineStr">
        <is>
          <t>In-store</t>
        </is>
      </c>
      <c r="I362" t="inlineStr">
        <is>
          <t>Anaya</t>
        </is>
      </c>
      <c r="J362" t="n">
        <v>10</v>
      </c>
      <c r="K362" s="6" t="n">
        <v>179</v>
      </c>
      <c r="L362" s="7" t="n">
        <v>0</v>
      </c>
      <c r="M362" t="inlineStr">
        <is>
          <t>Completed</t>
        </is>
      </c>
    </row>
    <row r="363">
      <c r="A363" t="inlineStr">
        <is>
          <t>ORD0362</t>
        </is>
      </c>
      <c r="B363" s="5" t="n">
        <v>45700</v>
      </c>
      <c r="C363" t="inlineStr">
        <is>
          <t>CUST1021</t>
        </is>
      </c>
      <c r="D363" t="inlineStr">
        <is>
          <t>P1005</t>
        </is>
      </c>
      <c r="E363" t="inlineStr">
        <is>
          <t>Monitor 27 inch</t>
        </is>
      </c>
      <c r="F363" t="inlineStr">
        <is>
          <t>Electronics</t>
        </is>
      </c>
      <c r="G363" t="inlineStr">
        <is>
          <t>North</t>
        </is>
      </c>
      <c r="H363" t="inlineStr">
        <is>
          <t>In-store</t>
        </is>
      </c>
      <c r="I363" t="inlineStr">
        <is>
          <t>Meera</t>
        </is>
      </c>
      <c r="J363" t="n">
        <v>2</v>
      </c>
      <c r="K363" s="6" t="n">
        <v>299</v>
      </c>
      <c r="L363" s="7" t="n">
        <v>0.2</v>
      </c>
      <c r="M363" t="inlineStr">
        <is>
          <t>Completed</t>
        </is>
      </c>
    </row>
    <row r="364">
      <c r="A364" t="inlineStr">
        <is>
          <t>ORD0363</t>
        </is>
      </c>
      <c r="B364" s="5" t="n">
        <v>45993</v>
      </c>
      <c r="C364" t="inlineStr">
        <is>
          <t>CUST1000</t>
        </is>
      </c>
      <c r="D364" t="inlineStr">
        <is>
          <t>P1007</t>
        </is>
      </c>
      <c r="E364" t="inlineStr">
        <is>
          <t>Office Chair</t>
        </is>
      </c>
      <c r="F364" t="inlineStr">
        <is>
          <t>Furniture</t>
        </is>
      </c>
      <c r="G364" t="inlineStr">
        <is>
          <t>South</t>
        </is>
      </c>
      <c r="H364" t="inlineStr">
        <is>
          <t>In-store</t>
        </is>
      </c>
      <c r="I364" t="inlineStr">
        <is>
          <t>Meera</t>
        </is>
      </c>
      <c r="J364" t="n">
        <v>1</v>
      </c>
      <c r="K364" s="6" t="n">
        <v>179</v>
      </c>
      <c r="L364" s="7" t="n">
        <v>0</v>
      </c>
      <c r="M364" t="inlineStr">
        <is>
          <t>Completed</t>
        </is>
      </c>
    </row>
    <row r="365">
      <c r="A365" t="inlineStr">
        <is>
          <t>ORD0364</t>
        </is>
      </c>
      <c r="B365" s="5" t="n">
        <v>46006</v>
      </c>
      <c r="C365" t="inlineStr">
        <is>
          <t>CUST1043</t>
        </is>
      </c>
      <c r="D365" t="inlineStr">
        <is>
          <t>P1009</t>
        </is>
      </c>
      <c r="E365" t="inlineStr">
        <is>
          <t>Desk Lamp</t>
        </is>
      </c>
      <c r="F365" t="inlineStr">
        <is>
          <t>Furniture</t>
        </is>
      </c>
      <c r="G365" t="inlineStr">
        <is>
          <t>North</t>
        </is>
      </c>
      <c r="H365" t="inlineStr">
        <is>
          <t>In-store</t>
        </is>
      </c>
      <c r="I365" t="inlineStr">
        <is>
          <t>Sara</t>
        </is>
      </c>
      <c r="J365" t="n">
        <v>2</v>
      </c>
      <c r="K365" s="6" t="n">
        <v>39</v>
      </c>
      <c r="L365" s="7" t="n">
        <v>0</v>
      </c>
      <c r="M365" t="inlineStr">
        <is>
          <t>Completed</t>
        </is>
      </c>
    </row>
    <row r="366">
      <c r="A366" t="inlineStr">
        <is>
          <t>ORD0365</t>
        </is>
      </c>
      <c r="B366" s="5" t="n">
        <v>45775</v>
      </c>
      <c r="C366" t="inlineStr">
        <is>
          <t>CUST1013</t>
        </is>
      </c>
      <c r="D366" t="inlineStr">
        <is>
          <t>P1002</t>
        </is>
      </c>
      <c r="E366" t="inlineStr">
        <is>
          <t>Wireless Mouse</t>
        </is>
      </c>
      <c r="F366" t="inlineStr">
        <is>
          <t>Electronics</t>
        </is>
      </c>
      <c r="G366" t="inlineStr">
        <is>
          <t>North</t>
        </is>
      </c>
      <c r="H366" t="inlineStr">
        <is>
          <t>In-store</t>
        </is>
      </c>
      <c r="I366" t="inlineStr">
        <is>
          <t>Kabir</t>
        </is>
      </c>
      <c r="J366" t="n">
        <v>2</v>
      </c>
      <c r="K366" s="6" t="n">
        <v>25</v>
      </c>
      <c r="L366" s="7" t="n">
        <v>0.2</v>
      </c>
      <c r="M366" t="inlineStr">
        <is>
          <t>Completed</t>
        </is>
      </c>
    </row>
    <row r="367">
      <c r="A367" t="inlineStr">
        <is>
          <t>ORD0366</t>
        </is>
      </c>
      <c r="B367" s="5" t="n">
        <v>45853</v>
      </c>
      <c r="C367" t="inlineStr">
        <is>
          <t>CUST1018</t>
        </is>
      </c>
      <c r="D367" t="inlineStr">
        <is>
          <t>P1003</t>
        </is>
      </c>
      <c r="E367" t="inlineStr">
        <is>
          <t>Mechanical Keyboard</t>
        </is>
      </c>
      <c r="F367" t="inlineStr">
        <is>
          <t>Electronics</t>
        </is>
      </c>
      <c r="G367" t="inlineStr">
        <is>
          <t>North</t>
        </is>
      </c>
      <c r="H367" t="inlineStr">
        <is>
          <t>Marketplace</t>
        </is>
      </c>
      <c r="I367" t="inlineStr">
        <is>
          <t>Ishaan</t>
        </is>
      </c>
      <c r="J367" t="n">
        <v>4</v>
      </c>
      <c r="K367" s="6" t="n">
        <v>75</v>
      </c>
      <c r="L367" s="7" t="n">
        <v>0</v>
      </c>
      <c r="M367" t="inlineStr">
        <is>
          <t>Completed</t>
        </is>
      </c>
    </row>
    <row r="368">
      <c r="A368" t="inlineStr">
        <is>
          <t>ORD0367</t>
        </is>
      </c>
      <c r="B368" s="5" t="n">
        <v>45837</v>
      </c>
      <c r="C368" t="inlineStr">
        <is>
          <t>CUST1019</t>
        </is>
      </c>
      <c r="D368" t="inlineStr">
        <is>
          <t>P1008</t>
        </is>
      </c>
      <c r="E368" t="inlineStr">
        <is>
          <t>Standing Desk</t>
        </is>
      </c>
      <c r="F368" t="inlineStr">
        <is>
          <t>Furniture</t>
        </is>
      </c>
      <c r="G368" t="inlineStr">
        <is>
          <t>West</t>
        </is>
      </c>
      <c r="H368" t="inlineStr">
        <is>
          <t>Marketplace</t>
        </is>
      </c>
      <c r="I368" t="inlineStr">
        <is>
          <t>Meera</t>
        </is>
      </c>
      <c r="J368" t="n">
        <v>3</v>
      </c>
      <c r="K368" s="6" t="n">
        <v>379</v>
      </c>
      <c r="L368" s="7" t="n">
        <v>0.2</v>
      </c>
      <c r="M368" t="inlineStr">
        <is>
          <t>Completed</t>
        </is>
      </c>
    </row>
    <row r="369">
      <c r="A369" t="inlineStr">
        <is>
          <t>ORD0368</t>
        </is>
      </c>
      <c r="B369" s="5" t="n">
        <v>45709</v>
      </c>
      <c r="C369" t="inlineStr">
        <is>
          <t>CUST1075</t>
        </is>
      </c>
      <c r="D369" t="inlineStr">
        <is>
          <t>P1002</t>
        </is>
      </c>
      <c r="E369" t="inlineStr">
        <is>
          <t>Wireless Mouse</t>
        </is>
      </c>
      <c r="F369" t="inlineStr">
        <is>
          <t>Electronics</t>
        </is>
      </c>
      <c r="G369" t="inlineStr">
        <is>
          <t>West</t>
        </is>
      </c>
      <c r="H369" t="inlineStr">
        <is>
          <t>In-store</t>
        </is>
      </c>
      <c r="I369" t="inlineStr">
        <is>
          <t>Anaya</t>
        </is>
      </c>
      <c r="J369" t="n">
        <v>1</v>
      </c>
      <c r="K369" s="6" t="n">
        <v>25</v>
      </c>
      <c r="L369" s="7" t="n">
        <v>0</v>
      </c>
      <c r="M369" t="inlineStr">
        <is>
          <t>Returned</t>
        </is>
      </c>
    </row>
    <row r="370">
      <c r="A370" t="inlineStr">
        <is>
          <t>ORD0369</t>
        </is>
      </c>
      <c r="B370" s="5" t="n">
        <v>45729</v>
      </c>
      <c r="C370" t="inlineStr">
        <is>
          <t>CUST1010</t>
        </is>
      </c>
      <c r="D370" t="inlineStr">
        <is>
          <t>P1013</t>
        </is>
      </c>
      <c r="E370" t="inlineStr">
        <is>
          <t>Water Bottle</t>
        </is>
      </c>
      <c r="F370" t="inlineStr">
        <is>
          <t>Accessories</t>
        </is>
      </c>
      <c r="G370" t="inlineStr">
        <is>
          <t>South</t>
        </is>
      </c>
      <c r="H370" t="inlineStr">
        <is>
          <t>Marketplace</t>
        </is>
      </c>
      <c r="I370" t="inlineStr">
        <is>
          <t>Kabir</t>
        </is>
      </c>
      <c r="J370" t="n">
        <v>1</v>
      </c>
      <c r="K370" s="6" t="n">
        <v>18</v>
      </c>
      <c r="L370" s="7" t="n">
        <v>0.2</v>
      </c>
      <c r="M370" t="inlineStr">
        <is>
          <t>Completed</t>
        </is>
      </c>
    </row>
    <row r="371">
      <c r="A371" t="inlineStr">
        <is>
          <t>ORD0370</t>
        </is>
      </c>
      <c r="B371" s="5" t="n">
        <v>46011</v>
      </c>
      <c r="C371" t="inlineStr">
        <is>
          <t>CUST1038</t>
        </is>
      </c>
      <c r="D371" t="inlineStr">
        <is>
          <t>P1013</t>
        </is>
      </c>
      <c r="E371" t="inlineStr">
        <is>
          <t>Water Bottle</t>
        </is>
      </c>
      <c r="F371" t="inlineStr">
        <is>
          <t>Accessories</t>
        </is>
      </c>
      <c r="G371" t="inlineStr">
        <is>
          <t>South</t>
        </is>
      </c>
      <c r="H371" t="inlineStr">
        <is>
          <t>Marketplace</t>
        </is>
      </c>
      <c r="I371" t="inlineStr">
        <is>
          <t>Meera</t>
        </is>
      </c>
      <c r="J371" t="n">
        <v>1</v>
      </c>
      <c r="K371" s="6" t="n">
        <v>18</v>
      </c>
      <c r="L371" s="7" t="n">
        <v>0.2</v>
      </c>
      <c r="M371" t="inlineStr">
        <is>
          <t>Completed</t>
        </is>
      </c>
    </row>
    <row r="372">
      <c r="A372" t="inlineStr">
        <is>
          <t>ORD0371</t>
        </is>
      </c>
      <c r="B372" s="5" t="n">
        <v>45858</v>
      </c>
      <c r="C372" t="inlineStr">
        <is>
          <t>CUST1030</t>
        </is>
      </c>
      <c r="D372" t="inlineStr">
        <is>
          <t>P1012</t>
        </is>
      </c>
      <c r="E372" t="inlineStr">
        <is>
          <t>Whiteboard</t>
        </is>
      </c>
      <c r="F372" t="inlineStr">
        <is>
          <t>Stationery</t>
        </is>
      </c>
      <c r="G372" t="inlineStr">
        <is>
          <t>West</t>
        </is>
      </c>
      <c r="H372" t="inlineStr">
        <is>
          <t>In-store</t>
        </is>
      </c>
      <c r="I372" t="inlineStr">
        <is>
          <t>Sara</t>
        </is>
      </c>
      <c r="J372" t="n">
        <v>1</v>
      </c>
      <c r="K372" s="6" t="n">
        <v>59</v>
      </c>
      <c r="L372" s="7" t="n">
        <v>0</v>
      </c>
      <c r="M372" t="inlineStr">
        <is>
          <t>Completed</t>
        </is>
      </c>
    </row>
    <row r="373">
      <c r="A373" t="inlineStr">
        <is>
          <t>ORD0372</t>
        </is>
      </c>
      <c r="B373" s="5" t="n">
        <v>45962</v>
      </c>
      <c r="C373" t="inlineStr">
        <is>
          <t>CUST1046</t>
        </is>
      </c>
      <c r="D373" t="inlineStr">
        <is>
          <t>P1011</t>
        </is>
      </c>
      <c r="E373" t="inlineStr">
        <is>
          <t>Pen Set</t>
        </is>
      </c>
      <c r="F373" t="inlineStr">
        <is>
          <t>Stationery</t>
        </is>
      </c>
      <c r="G373" t="inlineStr">
        <is>
          <t>East</t>
        </is>
      </c>
      <c r="H373" t="inlineStr">
        <is>
          <t>Online</t>
        </is>
      </c>
      <c r="I373" t="inlineStr">
        <is>
          <t>Rohan</t>
        </is>
      </c>
      <c r="J373" t="n">
        <v>1</v>
      </c>
      <c r="K373" s="6" t="n">
        <v>8</v>
      </c>
      <c r="L373" s="7" t="n">
        <v>0</v>
      </c>
      <c r="M373" t="inlineStr">
        <is>
          <t>Completed</t>
        </is>
      </c>
    </row>
    <row r="374">
      <c r="A374" t="inlineStr">
        <is>
          <t>ORD0373</t>
        </is>
      </c>
      <c r="B374" s="5" t="n">
        <v>45937</v>
      </c>
      <c r="C374" t="inlineStr">
        <is>
          <t>CUST1009</t>
        </is>
      </c>
      <c r="D374" t="inlineStr">
        <is>
          <t>P1006</t>
        </is>
      </c>
      <c r="E374" t="inlineStr">
        <is>
          <t>Webcam HD</t>
        </is>
      </c>
      <c r="F374" t="inlineStr">
        <is>
          <t>Electronics</t>
        </is>
      </c>
      <c r="G374" t="inlineStr">
        <is>
          <t>North</t>
        </is>
      </c>
      <c r="H374" t="inlineStr">
        <is>
          <t>Marketplace</t>
        </is>
      </c>
      <c r="I374" t="inlineStr">
        <is>
          <t>Kabir</t>
        </is>
      </c>
      <c r="J374" t="n">
        <v>3</v>
      </c>
      <c r="K374" s="6" t="n">
        <v>69</v>
      </c>
      <c r="L374" s="7" t="n">
        <v>0.1</v>
      </c>
      <c r="M374" t="inlineStr">
        <is>
          <t>Completed</t>
        </is>
      </c>
    </row>
    <row r="375">
      <c r="A375" t="inlineStr">
        <is>
          <t>ORD0374</t>
        </is>
      </c>
      <c r="B375" s="5" t="n">
        <v>45678</v>
      </c>
      <c r="C375" t="inlineStr">
        <is>
          <t>CUST1064</t>
        </is>
      </c>
      <c r="D375" t="inlineStr">
        <is>
          <t>P1004</t>
        </is>
      </c>
      <c r="E375" t="inlineStr">
        <is>
          <t>USB-C Hub</t>
        </is>
      </c>
      <c r="F375" t="inlineStr">
        <is>
          <t>Electronics</t>
        </is>
      </c>
      <c r="G375" t="inlineStr">
        <is>
          <t>East</t>
        </is>
      </c>
      <c r="H375" t="inlineStr">
        <is>
          <t>Marketplace</t>
        </is>
      </c>
      <c r="I375" t="inlineStr">
        <is>
          <t>Rohan</t>
        </is>
      </c>
      <c r="J375" t="n">
        <v>5</v>
      </c>
      <c r="K375" s="6" t="n">
        <v>49</v>
      </c>
      <c r="L375" s="7" t="n">
        <v>0.1</v>
      </c>
      <c r="M375" t="inlineStr">
        <is>
          <t>Completed</t>
        </is>
      </c>
    </row>
    <row r="376">
      <c r="A376" t="inlineStr">
        <is>
          <t>ORD0375</t>
        </is>
      </c>
      <c r="B376" s="5" t="n">
        <v>46017</v>
      </c>
      <c r="C376" t="inlineStr">
        <is>
          <t>CUST1068</t>
        </is>
      </c>
      <c r="D376" t="inlineStr">
        <is>
          <t>P1007</t>
        </is>
      </c>
      <c r="E376" t="inlineStr">
        <is>
          <t>Office Chair</t>
        </is>
      </c>
      <c r="F376" t="inlineStr">
        <is>
          <t>Furniture</t>
        </is>
      </c>
      <c r="G376" t="inlineStr">
        <is>
          <t>Central</t>
        </is>
      </c>
      <c r="H376" t="inlineStr">
        <is>
          <t>Marketplace</t>
        </is>
      </c>
      <c r="I376" t="inlineStr">
        <is>
          <t>Diya</t>
        </is>
      </c>
      <c r="J376" t="n">
        <v>2</v>
      </c>
      <c r="K376" s="6" t="n">
        <v>179</v>
      </c>
      <c r="L376" s="7" t="n">
        <v>0.2</v>
      </c>
      <c r="M376" t="inlineStr">
        <is>
          <t>Completed</t>
        </is>
      </c>
    </row>
    <row r="377">
      <c r="A377" t="inlineStr">
        <is>
          <t>ORD0376</t>
        </is>
      </c>
      <c r="B377" s="5" t="n">
        <v>45698</v>
      </c>
      <c r="C377" t="inlineStr">
        <is>
          <t>CUST1019</t>
        </is>
      </c>
      <c r="D377" t="inlineStr">
        <is>
          <t>P1005</t>
        </is>
      </c>
      <c r="E377" t="inlineStr">
        <is>
          <t>Monitor 27 inch</t>
        </is>
      </c>
      <c r="F377" t="inlineStr">
        <is>
          <t>Electronics</t>
        </is>
      </c>
      <c r="G377" t="inlineStr">
        <is>
          <t>Central</t>
        </is>
      </c>
      <c r="H377" t="inlineStr">
        <is>
          <t>In-store</t>
        </is>
      </c>
      <c r="I377" t="inlineStr">
        <is>
          <t>Diya</t>
        </is>
      </c>
      <c r="J377" t="n">
        <v>2</v>
      </c>
      <c r="K377" s="6" t="n">
        <v>299</v>
      </c>
      <c r="L377" s="7" t="n">
        <v>0</v>
      </c>
      <c r="M377" t="inlineStr">
        <is>
          <t>Completed</t>
        </is>
      </c>
    </row>
    <row r="378">
      <c r="A378" t="inlineStr">
        <is>
          <t>ORD0377</t>
        </is>
      </c>
      <c r="B378" s="5" t="n">
        <v>46015</v>
      </c>
      <c r="C378" t="inlineStr">
        <is>
          <t>CUST1007</t>
        </is>
      </c>
      <c r="D378" t="inlineStr">
        <is>
          <t>P1005</t>
        </is>
      </c>
      <c r="E378" t="inlineStr">
        <is>
          <t>Monitor 27 inch</t>
        </is>
      </c>
      <c r="F378" t="inlineStr">
        <is>
          <t>Electronics</t>
        </is>
      </c>
      <c r="G378" t="inlineStr">
        <is>
          <t>South</t>
        </is>
      </c>
      <c r="H378" t="inlineStr">
        <is>
          <t>Online</t>
        </is>
      </c>
      <c r="I378" t="inlineStr">
        <is>
          <t>Diya</t>
        </is>
      </c>
      <c r="J378" t="n">
        <v>2</v>
      </c>
      <c r="K378" s="6" t="n">
        <v>299</v>
      </c>
      <c r="L378" s="7" t="n">
        <v>0</v>
      </c>
      <c r="M378" t="inlineStr">
        <is>
          <t>Pending</t>
        </is>
      </c>
    </row>
    <row r="379">
      <c r="A379" t="inlineStr">
        <is>
          <t>ORD0378</t>
        </is>
      </c>
      <c r="B379" s="5" t="n">
        <v>45971</v>
      </c>
      <c r="C379" t="inlineStr">
        <is>
          <t>CUST1022</t>
        </is>
      </c>
      <c r="D379" t="inlineStr">
        <is>
          <t>P1008</t>
        </is>
      </c>
      <c r="E379" t="inlineStr">
        <is>
          <t>Standing Desk</t>
        </is>
      </c>
      <c r="F379" t="inlineStr">
        <is>
          <t>Furniture</t>
        </is>
      </c>
      <c r="G379" t="inlineStr">
        <is>
          <t>North</t>
        </is>
      </c>
      <c r="H379" t="inlineStr">
        <is>
          <t>Online</t>
        </is>
      </c>
      <c r="I379" t="inlineStr">
        <is>
          <t>Aarav</t>
        </is>
      </c>
      <c r="J379" t="n">
        <v>3</v>
      </c>
      <c r="K379" s="6" t="n">
        <v>379</v>
      </c>
      <c r="L379" s="7" t="n">
        <v>0.05</v>
      </c>
      <c r="M379" t="inlineStr">
        <is>
          <t>Completed</t>
        </is>
      </c>
    </row>
    <row r="380">
      <c r="A380" t="inlineStr">
        <is>
          <t>ORD0379</t>
        </is>
      </c>
      <c r="B380" s="5" t="n">
        <v>45912</v>
      </c>
      <c r="C380" t="inlineStr">
        <is>
          <t>CUST1066</t>
        </is>
      </c>
      <c r="D380" t="inlineStr">
        <is>
          <t>P1003</t>
        </is>
      </c>
      <c r="E380" t="inlineStr">
        <is>
          <t>Mechanical Keyboard</t>
        </is>
      </c>
      <c r="F380" t="inlineStr">
        <is>
          <t>Electronics</t>
        </is>
      </c>
      <c r="G380" t="inlineStr">
        <is>
          <t>East</t>
        </is>
      </c>
      <c r="H380" t="inlineStr">
        <is>
          <t>Online</t>
        </is>
      </c>
      <c r="I380" t="inlineStr">
        <is>
          <t>Kabir</t>
        </is>
      </c>
      <c r="J380" t="n">
        <v>8</v>
      </c>
      <c r="K380" s="6" t="n">
        <v>75</v>
      </c>
      <c r="L380" s="7" t="n">
        <v>0.15</v>
      </c>
      <c r="M380" t="inlineStr">
        <is>
          <t>Completed</t>
        </is>
      </c>
    </row>
    <row r="381">
      <c r="A381" t="inlineStr">
        <is>
          <t>ORD0380</t>
        </is>
      </c>
      <c r="B381" s="5" t="n">
        <v>45718</v>
      </c>
      <c r="C381" t="inlineStr">
        <is>
          <t>CUST1042</t>
        </is>
      </c>
      <c r="D381" t="inlineStr">
        <is>
          <t>P1012</t>
        </is>
      </c>
      <c r="E381" t="inlineStr">
        <is>
          <t>Whiteboard</t>
        </is>
      </c>
      <c r="F381" t="inlineStr">
        <is>
          <t>Stationery</t>
        </is>
      </c>
      <c r="G381" t="inlineStr">
        <is>
          <t>West</t>
        </is>
      </c>
      <c r="H381" t="inlineStr">
        <is>
          <t>In-store</t>
        </is>
      </c>
      <c r="I381" t="inlineStr">
        <is>
          <t>Kabir</t>
        </is>
      </c>
      <c r="J381" t="n">
        <v>4</v>
      </c>
      <c r="K381" s="6" t="n">
        <v>59</v>
      </c>
      <c r="L381" s="7" t="n">
        <v>0</v>
      </c>
      <c r="M381" t="inlineStr">
        <is>
          <t>Completed</t>
        </is>
      </c>
    </row>
    <row r="382">
      <c r="A382" t="inlineStr">
        <is>
          <t>ORD0381</t>
        </is>
      </c>
      <c r="B382" s="5" t="n">
        <v>45953</v>
      </c>
      <c r="C382" t="inlineStr">
        <is>
          <t>CUST1058</t>
        </is>
      </c>
      <c r="D382" t="inlineStr">
        <is>
          <t>P1012</t>
        </is>
      </c>
      <c r="E382" t="inlineStr">
        <is>
          <t>Whiteboard</t>
        </is>
      </c>
      <c r="F382" t="inlineStr">
        <is>
          <t>Stationery</t>
        </is>
      </c>
      <c r="G382" t="inlineStr">
        <is>
          <t>Central</t>
        </is>
      </c>
      <c r="H382" t="inlineStr">
        <is>
          <t>In-store</t>
        </is>
      </c>
      <c r="I382" t="inlineStr">
        <is>
          <t>Ishaan</t>
        </is>
      </c>
      <c r="J382" t="n">
        <v>3</v>
      </c>
      <c r="K382" s="6" t="n">
        <v>59</v>
      </c>
      <c r="L382" s="7" t="n">
        <v>0.1</v>
      </c>
      <c r="M382" t="inlineStr">
        <is>
          <t>Completed</t>
        </is>
      </c>
    </row>
    <row r="383">
      <c r="A383" t="inlineStr">
        <is>
          <t>ORD0382</t>
        </is>
      </c>
      <c r="B383" s="5" t="n">
        <v>45738</v>
      </c>
      <c r="C383" t="inlineStr">
        <is>
          <t>CUST1073</t>
        </is>
      </c>
      <c r="D383" t="inlineStr">
        <is>
          <t>P1006</t>
        </is>
      </c>
      <c r="E383" t="inlineStr">
        <is>
          <t>Webcam HD</t>
        </is>
      </c>
      <c r="F383" t="inlineStr">
        <is>
          <t>Electronics</t>
        </is>
      </c>
      <c r="G383" t="inlineStr">
        <is>
          <t>North</t>
        </is>
      </c>
      <c r="H383" t="inlineStr">
        <is>
          <t>Online</t>
        </is>
      </c>
      <c r="I383" t="inlineStr">
        <is>
          <t>Aarav</t>
        </is>
      </c>
      <c r="J383" t="n">
        <v>1</v>
      </c>
      <c r="K383" s="6" t="n">
        <v>69</v>
      </c>
      <c r="L383" s="7" t="n">
        <v>0</v>
      </c>
      <c r="M383" t="inlineStr">
        <is>
          <t>Completed</t>
        </is>
      </c>
    </row>
    <row r="384">
      <c r="A384" t="inlineStr">
        <is>
          <t>ORD0383</t>
        </is>
      </c>
      <c r="B384" s="5" t="n">
        <v>45664</v>
      </c>
      <c r="C384" t="inlineStr">
        <is>
          <t>CUST1046</t>
        </is>
      </c>
      <c r="D384" t="inlineStr">
        <is>
          <t>P1001</t>
        </is>
      </c>
      <c r="E384" t="inlineStr">
        <is>
          <t>Laptop Pro 14</t>
        </is>
      </c>
      <c r="F384" t="inlineStr">
        <is>
          <t>Electronics</t>
        </is>
      </c>
      <c r="G384" t="inlineStr">
        <is>
          <t>West</t>
        </is>
      </c>
      <c r="H384" t="inlineStr">
        <is>
          <t>Online</t>
        </is>
      </c>
      <c r="I384" t="inlineStr">
        <is>
          <t>Aarav</t>
        </is>
      </c>
      <c r="J384" t="n">
        <v>1</v>
      </c>
      <c r="K384" s="6" t="n">
        <v>1150</v>
      </c>
      <c r="L384" s="7" t="n">
        <v>0.1</v>
      </c>
      <c r="M384" t="inlineStr">
        <is>
          <t>Completed</t>
        </is>
      </c>
    </row>
    <row r="385">
      <c r="A385" t="inlineStr">
        <is>
          <t>ORD0384</t>
        </is>
      </c>
      <c r="B385" s="5" t="n">
        <v>45993</v>
      </c>
      <c r="C385" t="inlineStr">
        <is>
          <t>CUST1031</t>
        </is>
      </c>
      <c r="D385" t="inlineStr">
        <is>
          <t>P1009</t>
        </is>
      </c>
      <c r="E385" t="inlineStr">
        <is>
          <t>Desk Lamp</t>
        </is>
      </c>
      <c r="F385" t="inlineStr">
        <is>
          <t>Furniture</t>
        </is>
      </c>
      <c r="G385" t="inlineStr">
        <is>
          <t>West</t>
        </is>
      </c>
      <c r="H385" t="inlineStr">
        <is>
          <t>Marketplace</t>
        </is>
      </c>
      <c r="I385" t="inlineStr">
        <is>
          <t>Diya</t>
        </is>
      </c>
      <c r="J385" t="n">
        <v>2</v>
      </c>
      <c r="K385" s="6" t="n">
        <v>39</v>
      </c>
      <c r="L385" s="7" t="n">
        <v>0.05</v>
      </c>
      <c r="M385" t="inlineStr">
        <is>
          <t>Completed</t>
        </is>
      </c>
    </row>
    <row r="386">
      <c r="A386" t="inlineStr">
        <is>
          <t>ORD0385</t>
        </is>
      </c>
      <c r="B386" s="5" t="n">
        <v>45848</v>
      </c>
      <c r="C386" t="inlineStr">
        <is>
          <t>CUST1006</t>
        </is>
      </c>
      <c r="D386" t="inlineStr">
        <is>
          <t>P1010</t>
        </is>
      </c>
      <c r="E386" t="inlineStr">
        <is>
          <t>Notebook Pack</t>
        </is>
      </c>
      <c r="F386" t="inlineStr">
        <is>
          <t>Stationery</t>
        </is>
      </c>
      <c r="G386" t="inlineStr">
        <is>
          <t>South</t>
        </is>
      </c>
      <c r="H386" t="inlineStr">
        <is>
          <t>Online</t>
        </is>
      </c>
      <c r="I386" t="inlineStr">
        <is>
          <t>Aarav</t>
        </is>
      </c>
      <c r="J386" t="n">
        <v>1</v>
      </c>
      <c r="K386" s="6" t="n">
        <v>10</v>
      </c>
      <c r="L386" s="7" t="n">
        <v>0.2</v>
      </c>
      <c r="M386" t="inlineStr">
        <is>
          <t>Completed</t>
        </is>
      </c>
    </row>
    <row r="387">
      <c r="A387" t="inlineStr">
        <is>
          <t>ORD0386</t>
        </is>
      </c>
      <c r="B387" s="5" t="n">
        <v>45693</v>
      </c>
      <c r="C387" t="inlineStr">
        <is>
          <t>CUST1039</t>
        </is>
      </c>
      <c r="D387" t="inlineStr">
        <is>
          <t>P1007</t>
        </is>
      </c>
      <c r="E387" t="inlineStr">
        <is>
          <t>Office Chair</t>
        </is>
      </c>
      <c r="F387" t="inlineStr">
        <is>
          <t>Furniture</t>
        </is>
      </c>
      <c r="G387" t="inlineStr">
        <is>
          <t>East</t>
        </is>
      </c>
      <c r="H387" t="inlineStr">
        <is>
          <t>Online</t>
        </is>
      </c>
      <c r="I387" t="inlineStr">
        <is>
          <t>Aarav</t>
        </is>
      </c>
      <c r="J387" t="n">
        <v>5</v>
      </c>
      <c r="K387" s="6" t="n">
        <v>179</v>
      </c>
      <c r="L387" s="7" t="n">
        <v>0.05</v>
      </c>
      <c r="M387" t="inlineStr">
        <is>
          <t>Completed</t>
        </is>
      </c>
    </row>
    <row r="388">
      <c r="A388" t="inlineStr">
        <is>
          <t>ORD0387</t>
        </is>
      </c>
      <c r="B388" s="5" t="n">
        <v>45760</v>
      </c>
      <c r="C388" t="inlineStr">
        <is>
          <t>CUST1079</t>
        </is>
      </c>
      <c r="D388" t="inlineStr">
        <is>
          <t>P1006</t>
        </is>
      </c>
      <c r="E388" t="inlineStr">
        <is>
          <t>Webcam HD</t>
        </is>
      </c>
      <c r="F388" t="inlineStr">
        <is>
          <t>Electronics</t>
        </is>
      </c>
      <c r="G388" t="inlineStr">
        <is>
          <t>South</t>
        </is>
      </c>
      <c r="H388" t="inlineStr">
        <is>
          <t>In-store</t>
        </is>
      </c>
      <c r="I388" t="inlineStr">
        <is>
          <t>Sara</t>
        </is>
      </c>
      <c r="J388" t="n">
        <v>1</v>
      </c>
      <c r="K388" s="6" t="n">
        <v>69</v>
      </c>
      <c r="L388" s="7" t="n">
        <v>0.05</v>
      </c>
      <c r="M388" t="inlineStr">
        <is>
          <t>Completed</t>
        </is>
      </c>
    </row>
    <row r="389">
      <c r="A389" t="inlineStr">
        <is>
          <t>ORD0388</t>
        </is>
      </c>
      <c r="B389" s="5" t="n">
        <v>45758</v>
      </c>
      <c r="C389" t="inlineStr">
        <is>
          <t>CUST1031</t>
        </is>
      </c>
      <c r="D389" t="inlineStr">
        <is>
          <t>P1013</t>
        </is>
      </c>
      <c r="E389" t="inlineStr">
        <is>
          <t>Water Bottle</t>
        </is>
      </c>
      <c r="F389" t="inlineStr">
        <is>
          <t>Accessories</t>
        </is>
      </c>
      <c r="G389" t="inlineStr">
        <is>
          <t>South</t>
        </is>
      </c>
      <c r="H389" t="inlineStr">
        <is>
          <t>Online</t>
        </is>
      </c>
      <c r="I389" t="inlineStr">
        <is>
          <t>Aarav</t>
        </is>
      </c>
      <c r="J389" t="n">
        <v>3</v>
      </c>
      <c r="K389" s="6" t="n">
        <v>18</v>
      </c>
      <c r="L389" s="7" t="n">
        <v>0.15</v>
      </c>
      <c r="M389" t="inlineStr">
        <is>
          <t>Pending</t>
        </is>
      </c>
    </row>
    <row r="390">
      <c r="A390" t="inlineStr">
        <is>
          <t>ORD0389</t>
        </is>
      </c>
      <c r="B390" s="5" t="n">
        <v>45935</v>
      </c>
      <c r="C390" t="inlineStr">
        <is>
          <t>CUST1001</t>
        </is>
      </c>
      <c r="D390" t="inlineStr">
        <is>
          <t>P1004</t>
        </is>
      </c>
      <c r="E390" t="inlineStr">
        <is>
          <t>USB-C Hub</t>
        </is>
      </c>
      <c r="F390" t="inlineStr">
        <is>
          <t>Electronics</t>
        </is>
      </c>
      <c r="G390" t="inlineStr">
        <is>
          <t>East</t>
        </is>
      </c>
      <c r="H390" t="inlineStr">
        <is>
          <t>Online</t>
        </is>
      </c>
      <c r="I390" t="inlineStr">
        <is>
          <t>Rohan</t>
        </is>
      </c>
      <c r="J390" t="n">
        <v>2</v>
      </c>
      <c r="K390" s="6" t="n">
        <v>49</v>
      </c>
      <c r="L390" s="7" t="n">
        <v>0.2</v>
      </c>
      <c r="M390" t="inlineStr">
        <is>
          <t>Completed</t>
        </is>
      </c>
    </row>
    <row r="391">
      <c r="A391" t="inlineStr">
        <is>
          <t>ORD0390</t>
        </is>
      </c>
      <c r="B391" s="5" t="n">
        <v>45815</v>
      </c>
      <c r="C391" t="inlineStr">
        <is>
          <t>CUST1030</t>
        </is>
      </c>
      <c r="D391" t="inlineStr">
        <is>
          <t>P1014</t>
        </is>
      </c>
      <c r="E391" t="inlineStr">
        <is>
          <t>Backpack</t>
        </is>
      </c>
      <c r="F391" t="inlineStr">
        <is>
          <t>Accessories</t>
        </is>
      </c>
      <c r="G391" t="inlineStr">
        <is>
          <t>West</t>
        </is>
      </c>
      <c r="H391" t="inlineStr">
        <is>
          <t>In-store</t>
        </is>
      </c>
      <c r="I391" t="inlineStr">
        <is>
          <t>Ishaan</t>
        </is>
      </c>
      <c r="J391" t="n">
        <v>1</v>
      </c>
      <c r="K391" s="6" t="n">
        <v>49</v>
      </c>
      <c r="L391" s="7" t="n">
        <v>0.15</v>
      </c>
      <c r="M391" t="inlineStr">
        <is>
          <t>Returned</t>
        </is>
      </c>
    </row>
    <row r="392">
      <c r="A392" t="inlineStr">
        <is>
          <t>ORD0391</t>
        </is>
      </c>
      <c r="B392" s="5" t="n">
        <v>45801</v>
      </c>
      <c r="C392" t="inlineStr">
        <is>
          <t>CUST1066</t>
        </is>
      </c>
      <c r="D392" t="inlineStr">
        <is>
          <t>P1012</t>
        </is>
      </c>
      <c r="E392" t="inlineStr">
        <is>
          <t>Whiteboard</t>
        </is>
      </c>
      <c r="F392" t="inlineStr">
        <is>
          <t>Stationery</t>
        </is>
      </c>
      <c r="G392" t="inlineStr">
        <is>
          <t>West</t>
        </is>
      </c>
      <c r="H392" t="inlineStr">
        <is>
          <t>Marketplace</t>
        </is>
      </c>
      <c r="I392" t="inlineStr">
        <is>
          <t>Sara</t>
        </is>
      </c>
      <c r="J392" t="n">
        <v>1</v>
      </c>
      <c r="K392" s="6" t="n">
        <v>59</v>
      </c>
      <c r="L392" s="7" t="n">
        <v>0</v>
      </c>
      <c r="M392" t="inlineStr">
        <is>
          <t>Pending</t>
        </is>
      </c>
    </row>
    <row r="393">
      <c r="A393" t="inlineStr">
        <is>
          <t>ORD0392</t>
        </is>
      </c>
      <c r="B393" s="5" t="n">
        <v>45701</v>
      </c>
      <c r="C393" t="inlineStr">
        <is>
          <t>CUST1017</t>
        </is>
      </c>
      <c r="D393" t="inlineStr">
        <is>
          <t>P1012</t>
        </is>
      </c>
      <c r="E393" t="inlineStr">
        <is>
          <t>Whiteboard</t>
        </is>
      </c>
      <c r="F393" t="inlineStr">
        <is>
          <t>Stationery</t>
        </is>
      </c>
      <c r="G393" t="inlineStr">
        <is>
          <t>West</t>
        </is>
      </c>
      <c r="H393" t="inlineStr">
        <is>
          <t>Online</t>
        </is>
      </c>
      <c r="I393" t="inlineStr">
        <is>
          <t>Aarav</t>
        </is>
      </c>
      <c r="J393" t="n">
        <v>3</v>
      </c>
      <c r="K393" s="6" t="n">
        <v>59</v>
      </c>
      <c r="L393" s="7" t="n">
        <v>0.15</v>
      </c>
      <c r="M393" t="inlineStr">
        <is>
          <t>Completed</t>
        </is>
      </c>
    </row>
    <row r="394">
      <c r="A394" t="inlineStr">
        <is>
          <t>ORD0393</t>
        </is>
      </c>
      <c r="B394" s="5" t="n">
        <v>45997</v>
      </c>
      <c r="C394" t="inlineStr">
        <is>
          <t>CUST1037</t>
        </is>
      </c>
      <c r="D394" t="inlineStr">
        <is>
          <t>P1007</t>
        </is>
      </c>
      <c r="E394" t="inlineStr">
        <is>
          <t>Office Chair</t>
        </is>
      </c>
      <c r="F394" t="inlineStr">
        <is>
          <t>Furniture</t>
        </is>
      </c>
      <c r="G394" t="inlineStr">
        <is>
          <t>East</t>
        </is>
      </c>
      <c r="H394" t="inlineStr">
        <is>
          <t>In-store</t>
        </is>
      </c>
      <c r="I394" t="inlineStr">
        <is>
          <t>Rohan</t>
        </is>
      </c>
      <c r="J394" t="n">
        <v>8</v>
      </c>
      <c r="K394" s="6" t="n">
        <v>179</v>
      </c>
      <c r="L394" s="7" t="n">
        <v>0</v>
      </c>
      <c r="M394" t="inlineStr">
        <is>
          <t>Pending</t>
        </is>
      </c>
    </row>
    <row r="395">
      <c r="A395" t="inlineStr">
        <is>
          <t>ORD0394</t>
        </is>
      </c>
      <c r="B395" s="5" t="n">
        <v>45825</v>
      </c>
      <c r="C395" t="inlineStr">
        <is>
          <t>CUST1029</t>
        </is>
      </c>
      <c r="D395" t="inlineStr">
        <is>
          <t>P1012</t>
        </is>
      </c>
      <c r="E395" t="inlineStr">
        <is>
          <t>Whiteboard</t>
        </is>
      </c>
      <c r="F395" t="inlineStr">
        <is>
          <t>Stationery</t>
        </is>
      </c>
      <c r="G395" t="inlineStr">
        <is>
          <t>North</t>
        </is>
      </c>
      <c r="H395" t="inlineStr">
        <is>
          <t>Online</t>
        </is>
      </c>
      <c r="I395" t="inlineStr">
        <is>
          <t>Diya</t>
        </is>
      </c>
      <c r="J395" t="n">
        <v>1</v>
      </c>
      <c r="K395" s="6" t="n">
        <v>59</v>
      </c>
      <c r="L395" s="7" t="n">
        <v>0.05</v>
      </c>
      <c r="M395" t="inlineStr">
        <is>
          <t>Completed</t>
        </is>
      </c>
    </row>
    <row r="396">
      <c r="A396" t="inlineStr">
        <is>
          <t>ORD0395</t>
        </is>
      </c>
      <c r="B396" s="5" t="n">
        <v>45712</v>
      </c>
      <c r="C396" t="inlineStr">
        <is>
          <t>CUST1040</t>
        </is>
      </c>
      <c r="D396" t="inlineStr">
        <is>
          <t>P1003</t>
        </is>
      </c>
      <c r="E396" t="inlineStr">
        <is>
          <t>Mechanical Keyboard</t>
        </is>
      </c>
      <c r="F396" t="inlineStr">
        <is>
          <t>Electronics</t>
        </is>
      </c>
      <c r="G396" t="inlineStr">
        <is>
          <t>West</t>
        </is>
      </c>
      <c r="H396" t="inlineStr">
        <is>
          <t>Online</t>
        </is>
      </c>
      <c r="I396" t="inlineStr">
        <is>
          <t>Meera</t>
        </is>
      </c>
      <c r="J396" t="n">
        <v>1</v>
      </c>
      <c r="K396" s="6" t="n">
        <v>75</v>
      </c>
      <c r="L396" s="7" t="n">
        <v>0.1</v>
      </c>
      <c r="M396" t="inlineStr">
        <is>
          <t>Completed</t>
        </is>
      </c>
    </row>
    <row r="397">
      <c r="A397" t="inlineStr">
        <is>
          <t>ORD0396</t>
        </is>
      </c>
      <c r="B397" s="5" t="n">
        <v>45815</v>
      </c>
      <c r="C397" t="inlineStr">
        <is>
          <t>CUST1011</t>
        </is>
      </c>
      <c r="D397" t="inlineStr">
        <is>
          <t>P1008</t>
        </is>
      </c>
      <c r="E397" t="inlineStr">
        <is>
          <t>Standing Desk</t>
        </is>
      </c>
      <c r="F397" t="inlineStr">
        <is>
          <t>Furniture</t>
        </is>
      </c>
      <c r="G397" t="inlineStr">
        <is>
          <t>South</t>
        </is>
      </c>
      <c r="H397" t="inlineStr">
        <is>
          <t>Marketplace</t>
        </is>
      </c>
      <c r="I397" t="inlineStr">
        <is>
          <t>Aarav</t>
        </is>
      </c>
      <c r="J397" t="n">
        <v>2</v>
      </c>
      <c r="K397" s="6" t="n">
        <v>379</v>
      </c>
      <c r="L397" s="7" t="n">
        <v>0</v>
      </c>
      <c r="M397" t="inlineStr">
        <is>
          <t>Completed</t>
        </is>
      </c>
    </row>
    <row r="398">
      <c r="A398" t="inlineStr">
        <is>
          <t>ORD0397</t>
        </is>
      </c>
      <c r="B398" s="5" t="n">
        <v>45825</v>
      </c>
      <c r="C398" t="inlineStr">
        <is>
          <t>CUST1031</t>
        </is>
      </c>
      <c r="D398" t="inlineStr">
        <is>
          <t>P1004</t>
        </is>
      </c>
      <c r="E398" t="inlineStr">
        <is>
          <t>USB-C Hub</t>
        </is>
      </c>
      <c r="F398" t="inlineStr">
        <is>
          <t>Electronics</t>
        </is>
      </c>
      <c r="G398" t="inlineStr">
        <is>
          <t>East</t>
        </is>
      </c>
      <c r="H398" t="inlineStr">
        <is>
          <t>In-store</t>
        </is>
      </c>
      <c r="I398" t="inlineStr">
        <is>
          <t>Kabir</t>
        </is>
      </c>
      <c r="J398" t="n">
        <v>1</v>
      </c>
      <c r="K398" s="6" t="n">
        <v>49</v>
      </c>
      <c r="L398" s="7" t="n">
        <v>0.2</v>
      </c>
      <c r="M398" t="inlineStr">
        <is>
          <t>Completed</t>
        </is>
      </c>
    </row>
    <row r="399">
      <c r="A399" t="inlineStr">
        <is>
          <t>ORD0398</t>
        </is>
      </c>
      <c r="B399" s="5" t="n">
        <v>45747</v>
      </c>
      <c r="C399" t="inlineStr">
        <is>
          <t>CUST1057</t>
        </is>
      </c>
      <c r="D399" t="inlineStr">
        <is>
          <t>P1005</t>
        </is>
      </c>
      <c r="E399" t="inlineStr">
        <is>
          <t>Monitor 27 inch</t>
        </is>
      </c>
      <c r="F399" t="inlineStr">
        <is>
          <t>Electronics</t>
        </is>
      </c>
      <c r="G399" t="inlineStr">
        <is>
          <t>Central</t>
        </is>
      </c>
      <c r="H399" t="inlineStr">
        <is>
          <t>Marketplace</t>
        </is>
      </c>
      <c r="I399" t="inlineStr">
        <is>
          <t>Diya</t>
        </is>
      </c>
      <c r="J399" t="n">
        <v>1</v>
      </c>
      <c r="K399" s="6" t="n">
        <v>299</v>
      </c>
      <c r="L399" s="7" t="n">
        <v>0.1</v>
      </c>
      <c r="M399" t="inlineStr">
        <is>
          <t>Completed</t>
        </is>
      </c>
    </row>
    <row r="400">
      <c r="A400" t="inlineStr">
        <is>
          <t>ORD0399</t>
        </is>
      </c>
      <c r="B400" s="5" t="n">
        <v>45710</v>
      </c>
      <c r="C400" t="inlineStr">
        <is>
          <t>CUST1015</t>
        </is>
      </c>
      <c r="D400" t="inlineStr">
        <is>
          <t>P1008</t>
        </is>
      </c>
      <c r="E400" t="inlineStr">
        <is>
          <t>Standing Desk</t>
        </is>
      </c>
      <c r="F400" t="inlineStr">
        <is>
          <t>Furniture</t>
        </is>
      </c>
      <c r="G400" t="inlineStr">
        <is>
          <t>North</t>
        </is>
      </c>
      <c r="H400" t="inlineStr">
        <is>
          <t>Online</t>
        </is>
      </c>
      <c r="I400" t="inlineStr">
        <is>
          <t>Meera</t>
        </is>
      </c>
      <c r="J400" t="n">
        <v>4</v>
      </c>
      <c r="K400" s="6" t="n">
        <v>379</v>
      </c>
      <c r="L400" s="7" t="n">
        <v>0</v>
      </c>
      <c r="M400" t="inlineStr">
        <is>
          <t>Completed</t>
        </is>
      </c>
    </row>
    <row r="401">
      <c r="A401" t="inlineStr">
        <is>
          <t>ORD0400</t>
        </is>
      </c>
      <c r="B401" s="5" t="n">
        <v>45759</v>
      </c>
      <c r="C401" t="inlineStr">
        <is>
          <t>CUST1010</t>
        </is>
      </c>
      <c r="D401" t="inlineStr">
        <is>
          <t>P1003</t>
        </is>
      </c>
      <c r="E401" t="inlineStr">
        <is>
          <t>Mechanical Keyboard</t>
        </is>
      </c>
      <c r="F401" t="inlineStr">
        <is>
          <t>Electronics</t>
        </is>
      </c>
      <c r="G401" t="inlineStr">
        <is>
          <t>Central</t>
        </is>
      </c>
      <c r="H401" t="inlineStr">
        <is>
          <t>Marketplace</t>
        </is>
      </c>
      <c r="I401" t="inlineStr">
        <is>
          <t>Diya</t>
        </is>
      </c>
      <c r="J401" t="n">
        <v>4</v>
      </c>
      <c r="K401" s="6" t="n">
        <v>75</v>
      </c>
      <c r="L401" s="7" t="n">
        <v>0.05</v>
      </c>
      <c r="M401" t="inlineStr">
        <is>
          <t>Completed</t>
        </is>
      </c>
    </row>
  </sheetData>
  <autoFilter ref="A1:M4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14" customWidth="1" min="4" max="4"/>
    <col width="14" customWidth="1" min="5" max="5"/>
  </cols>
  <sheetData>
    <row r="1">
      <c r="A1" s="8" t="inlineStr">
        <is>
          <t>Product_ID</t>
        </is>
      </c>
      <c r="B1" s="8" t="inlineStr">
        <is>
          <t>Product_Name</t>
        </is>
      </c>
      <c r="C1" s="8" t="inlineStr">
        <is>
          <t>Category</t>
        </is>
      </c>
      <c r="D1" s="8" t="inlineStr">
        <is>
          <t>Unit_Cost</t>
        </is>
      </c>
      <c r="E1" s="8" t="inlineStr">
        <is>
          <t>List_Price</t>
        </is>
      </c>
    </row>
    <row r="2">
      <c r="A2" t="inlineStr">
        <is>
          <t>P1001</t>
        </is>
      </c>
      <c r="B2" t="inlineStr">
        <is>
          <t>Laptop Pro 14</t>
        </is>
      </c>
      <c r="C2" t="inlineStr">
        <is>
          <t>Electronics</t>
        </is>
      </c>
      <c r="D2" s="6" t="n">
        <v>850</v>
      </c>
      <c r="E2" s="6" t="n">
        <v>1150</v>
      </c>
    </row>
    <row r="3">
      <c r="A3" t="inlineStr">
        <is>
          <t>P1002</t>
        </is>
      </c>
      <c r="B3" t="inlineStr">
        <is>
          <t>Wireless Mouse</t>
        </is>
      </c>
      <c r="C3" t="inlineStr">
        <is>
          <t>Electronics</t>
        </is>
      </c>
      <c r="D3" s="6" t="n">
        <v>12</v>
      </c>
      <c r="E3" s="6" t="n">
        <v>25</v>
      </c>
    </row>
    <row r="4">
      <c r="A4" t="inlineStr">
        <is>
          <t>P1003</t>
        </is>
      </c>
      <c r="B4" t="inlineStr">
        <is>
          <t>Mechanical Keyboard</t>
        </is>
      </c>
      <c r="C4" t="inlineStr">
        <is>
          <t>Electronics</t>
        </is>
      </c>
      <c r="D4" s="6" t="n">
        <v>38</v>
      </c>
      <c r="E4" s="6" t="n">
        <v>75</v>
      </c>
    </row>
    <row r="5">
      <c r="A5" t="inlineStr">
        <is>
          <t>P1004</t>
        </is>
      </c>
      <c r="B5" t="inlineStr">
        <is>
          <t>USB-C Hub</t>
        </is>
      </c>
      <c r="C5" t="inlineStr">
        <is>
          <t>Electronics</t>
        </is>
      </c>
      <c r="D5" s="6" t="n">
        <v>24</v>
      </c>
      <c r="E5" s="6" t="n">
        <v>49</v>
      </c>
    </row>
    <row r="6">
      <c r="A6" t="inlineStr">
        <is>
          <t>P1005</t>
        </is>
      </c>
      <c r="B6" t="inlineStr">
        <is>
          <t>Monitor 27 inch</t>
        </is>
      </c>
      <c r="C6" t="inlineStr">
        <is>
          <t>Electronics</t>
        </is>
      </c>
      <c r="D6" s="6" t="n">
        <v>180</v>
      </c>
      <c r="E6" s="6" t="n">
        <v>299</v>
      </c>
    </row>
    <row r="7">
      <c r="A7" t="inlineStr">
        <is>
          <t>P1006</t>
        </is>
      </c>
      <c r="B7" t="inlineStr">
        <is>
          <t>Webcam HD</t>
        </is>
      </c>
      <c r="C7" t="inlineStr">
        <is>
          <t>Electronics</t>
        </is>
      </c>
      <c r="D7" s="6" t="n">
        <v>32</v>
      </c>
      <c r="E7" s="6" t="n">
        <v>69</v>
      </c>
    </row>
    <row r="8">
      <c r="A8" t="inlineStr">
        <is>
          <t>P1007</t>
        </is>
      </c>
      <c r="B8" t="inlineStr">
        <is>
          <t>Office Chair</t>
        </is>
      </c>
      <c r="C8" t="inlineStr">
        <is>
          <t>Furniture</t>
        </is>
      </c>
      <c r="D8" s="6" t="n">
        <v>95</v>
      </c>
      <c r="E8" s="6" t="n">
        <v>179</v>
      </c>
    </row>
    <row r="9">
      <c r="A9" t="inlineStr">
        <is>
          <t>P1008</t>
        </is>
      </c>
      <c r="B9" t="inlineStr">
        <is>
          <t>Standing Desk</t>
        </is>
      </c>
      <c r="C9" t="inlineStr">
        <is>
          <t>Furniture</t>
        </is>
      </c>
      <c r="D9" s="6" t="n">
        <v>210</v>
      </c>
      <c r="E9" s="6" t="n">
        <v>379</v>
      </c>
    </row>
    <row r="10">
      <c r="A10" t="inlineStr">
        <is>
          <t>P1009</t>
        </is>
      </c>
      <c r="B10" t="inlineStr">
        <is>
          <t>Desk Lamp</t>
        </is>
      </c>
      <c r="C10" t="inlineStr">
        <is>
          <t>Furniture</t>
        </is>
      </c>
      <c r="D10" s="6" t="n">
        <v>18</v>
      </c>
      <c r="E10" s="6" t="n">
        <v>39</v>
      </c>
    </row>
    <row r="11">
      <c r="A11" t="inlineStr">
        <is>
          <t>P1010</t>
        </is>
      </c>
      <c r="B11" t="inlineStr">
        <is>
          <t>Notebook Pack</t>
        </is>
      </c>
      <c r="C11" t="inlineStr">
        <is>
          <t>Stationery</t>
        </is>
      </c>
      <c r="D11" s="6" t="n">
        <v>4</v>
      </c>
      <c r="E11" s="6" t="n">
        <v>10</v>
      </c>
    </row>
    <row r="12">
      <c r="A12" t="inlineStr">
        <is>
          <t>P1011</t>
        </is>
      </c>
      <c r="B12" t="inlineStr">
        <is>
          <t>Pen Set</t>
        </is>
      </c>
      <c r="C12" t="inlineStr">
        <is>
          <t>Stationery</t>
        </is>
      </c>
      <c r="D12" s="6" t="n">
        <v>3</v>
      </c>
      <c r="E12" s="6" t="n">
        <v>8</v>
      </c>
    </row>
    <row r="13">
      <c r="A13" t="inlineStr">
        <is>
          <t>P1012</t>
        </is>
      </c>
      <c r="B13" t="inlineStr">
        <is>
          <t>Whiteboard</t>
        </is>
      </c>
      <c r="C13" t="inlineStr">
        <is>
          <t>Stationery</t>
        </is>
      </c>
      <c r="D13" s="6" t="n">
        <v>28</v>
      </c>
      <c r="E13" s="6" t="n">
        <v>59</v>
      </c>
    </row>
    <row r="14">
      <c r="A14" t="inlineStr">
        <is>
          <t>P1013</t>
        </is>
      </c>
      <c r="B14" t="inlineStr">
        <is>
          <t>Water Bottle</t>
        </is>
      </c>
      <c r="C14" t="inlineStr">
        <is>
          <t>Accessories</t>
        </is>
      </c>
      <c r="D14" s="6" t="n">
        <v>7</v>
      </c>
      <c r="E14" s="6" t="n">
        <v>18</v>
      </c>
    </row>
    <row r="15">
      <c r="A15" t="inlineStr">
        <is>
          <t>P1014</t>
        </is>
      </c>
      <c r="B15" t="inlineStr">
        <is>
          <t>Backpack</t>
        </is>
      </c>
      <c r="C15" t="inlineStr">
        <is>
          <t>Accessories</t>
        </is>
      </c>
      <c r="D15" s="6" t="n">
        <v>22</v>
      </c>
      <c r="E15" s="6" t="n">
        <v>49</v>
      </c>
    </row>
    <row r="16">
      <c r="A16" t="inlineStr">
        <is>
          <t>P1015</t>
        </is>
      </c>
      <c r="B16" t="inlineStr">
        <is>
          <t>Phone Stand</t>
        </is>
      </c>
      <c r="C16" t="inlineStr">
        <is>
          <t>Accessories</t>
        </is>
      </c>
      <c r="D16" s="6" t="n">
        <v>6</v>
      </c>
      <c r="E16" s="6" t="n">
        <v>16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</cols>
  <sheetData>
    <row r="1">
      <c r="A1" s="8" t="inlineStr">
        <is>
          <t>Region</t>
        </is>
      </c>
      <c r="B1" s="8" t="inlineStr">
        <is>
          <t>Annual_Sales_Target</t>
        </is>
      </c>
      <c r="C1" s="8" t="inlineStr">
        <is>
          <t>Annual_Profit_Target</t>
        </is>
      </c>
    </row>
    <row r="2">
      <c r="A2" t="inlineStr">
        <is>
          <t>North</t>
        </is>
      </c>
      <c r="B2" s="6" t="n">
        <v>90000</v>
      </c>
      <c r="C2" s="6" t="n">
        <v>16200</v>
      </c>
    </row>
    <row r="3">
      <c r="A3" t="inlineStr">
        <is>
          <t>South</t>
        </is>
      </c>
      <c r="B3" s="6" t="n">
        <v>95000</v>
      </c>
      <c r="C3" s="6" t="n">
        <v>17100</v>
      </c>
    </row>
    <row r="4">
      <c r="A4" t="inlineStr">
        <is>
          <t>East</t>
        </is>
      </c>
      <c r="B4" s="6" t="n">
        <v>85000</v>
      </c>
      <c r="C4" s="6" t="n">
        <v>15300</v>
      </c>
    </row>
    <row r="5">
      <c r="A5" t="inlineStr">
        <is>
          <t>West</t>
        </is>
      </c>
      <c r="B5" s="6" t="n">
        <v>100000</v>
      </c>
      <c r="C5" s="6" t="n">
        <v>18000</v>
      </c>
    </row>
    <row r="6">
      <c r="A6" t="inlineStr">
        <is>
          <t>Central</t>
        </is>
      </c>
      <c r="B6" s="6" t="n">
        <v>80000</v>
      </c>
      <c r="C6" s="6" t="n">
        <v>14400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70" customWidth="1" min="3" max="3"/>
    <col width="30" customWidth="1" min="4" max="4"/>
  </cols>
  <sheetData>
    <row r="1">
      <c r="A1" s="8" t="inlineStr">
        <is>
          <t>Excel Topic</t>
        </is>
      </c>
      <c r="B1" s="8" t="inlineStr">
        <is>
          <t>Task</t>
        </is>
      </c>
      <c r="C1" s="8" t="inlineStr">
        <is>
          <t>Formula to write / explore</t>
        </is>
      </c>
      <c r="D1" s="8" t="inlineStr">
        <is>
          <t>Your answer / notes</t>
        </is>
      </c>
    </row>
    <row r="2" ht="34" customHeight="1">
      <c r="A2" t="inlineStr">
        <is>
          <t>Calculated columns</t>
        </is>
      </c>
      <c r="B2" s="3" t="inlineStr">
        <is>
          <t>Add Net_Sales = Quantity × Unit_Price × (1 − Discount_Rate)</t>
        </is>
      </c>
      <c r="C2" s="3">
        <f>[@Quantity]*[@Unit_Price]*(1-[@Discount_Rate])</f>
        <v/>
      </c>
      <c r="D2" t="inlineStr"/>
    </row>
    <row r="3" ht="34" customHeight="1">
      <c r="A3" t="inlineStr">
        <is>
          <t>Calculated columns</t>
        </is>
      </c>
      <c r="B3" s="3" t="inlineStr">
        <is>
          <t>Add Unit_Cost from Product_Lookup using Product_ID</t>
        </is>
      </c>
      <c r="C3" s="3">
        <f>XLOOKUP([@Product_ID],ProductTable[Product_ID],ProductTable[Unit_Cost],0)</f>
        <v/>
      </c>
      <c r="D3" t="inlineStr"/>
    </row>
    <row r="4" ht="34" customHeight="1">
      <c r="A4" t="inlineStr">
        <is>
          <t>Calculated columns</t>
        </is>
      </c>
      <c r="B4" s="3" t="inlineStr">
        <is>
          <t>Add Gross_Profit = Net_Sales − Quantity × Unit_Cost</t>
        </is>
      </c>
      <c r="C4" s="3">
        <f>[@Net_Sales]-[@Quantity]*[@Unit_Cost]</f>
        <v/>
      </c>
      <c r="D4" t="inlineStr"/>
    </row>
    <row r="5" ht="34" customHeight="1">
      <c r="A5" t="inlineStr">
        <is>
          <t>IF</t>
        </is>
      </c>
      <c r="B5" s="3" t="inlineStr">
        <is>
          <t>Flag orders as Review if profit is negative, otherwise OK</t>
        </is>
      </c>
      <c r="C5" s="3">
        <f>IF([@Gross_Profit]&lt;0,"Review","OK")</f>
        <v/>
      </c>
      <c r="D5" t="inlineStr"/>
    </row>
    <row r="6" ht="34" customHeight="1">
      <c r="A6" t="inlineStr">
        <is>
          <t>SUMIFS</t>
        </is>
      </c>
      <c r="B6" s="3" t="inlineStr">
        <is>
          <t>Calculate net sales for South region</t>
        </is>
      </c>
      <c r="C6" s="3">
        <f>SUMIFS(SalesTable[Net_Sales],SalesTable[Region],"South")</f>
        <v/>
      </c>
      <c r="D6" t="inlineStr"/>
    </row>
    <row r="7" ht="34" customHeight="1">
      <c r="A7" t="inlineStr">
        <is>
          <t>COUNTIFS</t>
        </is>
      </c>
      <c r="B7" s="3" t="inlineStr">
        <is>
          <t>Count Completed orders in Online channel</t>
        </is>
      </c>
      <c r="C7" s="3">
        <f>COUNTIFS(SalesTable[Order_Status],"Completed",SalesTable[Sales_Channel],"Online")</f>
        <v/>
      </c>
      <c r="D7" t="inlineStr"/>
    </row>
    <row r="8" ht="34" customHeight="1">
      <c r="A8" t="inlineStr">
        <is>
          <t>XLOOKUP</t>
        </is>
      </c>
      <c r="B8" s="3" t="inlineStr">
        <is>
          <t>Return product category from Product_ID</t>
        </is>
      </c>
      <c r="C8" s="3">
        <f>XLOOKUP([@Product_ID],ProductTable[Product_ID],ProductTable[Category],"Not found")</f>
        <v/>
      </c>
      <c r="D8" t="inlineStr"/>
    </row>
    <row r="9" ht="34" customHeight="1">
      <c r="A9" t="inlineStr">
        <is>
          <t>INDEX + MATCH</t>
        </is>
      </c>
      <c r="B9" s="3" t="inlineStr">
        <is>
          <t>Return List_Price for Product_ID</t>
        </is>
      </c>
      <c r="C9" s="3">
        <f>INDEX(ProductTable[List_Price],MATCH([@Product_ID],ProductTable[Product_ID],0))</f>
        <v/>
      </c>
      <c r="D9" t="inlineStr"/>
    </row>
    <row r="10" ht="34" customHeight="1">
      <c r="A10" t="inlineStr">
        <is>
          <t>Date functions</t>
        </is>
      </c>
      <c r="B10" s="3" t="inlineStr">
        <is>
          <t>Create a Month column from Order_Date</t>
        </is>
      </c>
      <c r="C10" s="3">
        <f>TEXT([@Order_Date],"mmm-yyyy")</f>
        <v/>
      </c>
      <c r="D10" t="inlineStr"/>
    </row>
    <row r="11" ht="34" customHeight="1">
      <c r="A11" t="inlineStr">
        <is>
          <t>Text functions</t>
        </is>
      </c>
      <c r="B11" s="3" t="inlineStr">
        <is>
          <t>Extract first 4 characters of Order_ID</t>
        </is>
      </c>
      <c r="C11" s="3">
        <f>LEFT([@Order_ID],4)</f>
        <v/>
      </c>
      <c r="D11" t="inlineStr"/>
    </row>
    <row r="12" ht="34" customHeight="1">
      <c r="A12" t="inlineStr">
        <is>
          <t>Absolute references</t>
        </is>
      </c>
      <c r="B12" s="3" t="inlineStr">
        <is>
          <t>Use a fixed tax/fee assumption in a formula, then fill down</t>
        </is>
      </c>
      <c r="C12" s="3" t="inlineStr">
        <is>
          <t>Example: =F2*(1+$B$1)</t>
        </is>
      </c>
      <c r="D12" t="inlineStr"/>
    </row>
    <row r="13" ht="34" customHeight="1">
      <c r="A13" t="inlineStr">
        <is>
          <t>IFERROR</t>
        </is>
      </c>
      <c r="B13" s="3" t="inlineStr">
        <is>
          <t>Handle a missing product lookup gracefully</t>
        </is>
      </c>
      <c r="C13" s="3">
        <f>IFERROR(XLOOKUP(A2,ProductTable[Product_ID],ProductTable[Unit_Cost]),"Check ID")</f>
        <v/>
      </c>
      <c r="D13" t="inlineStr"/>
    </row>
    <row r="14" ht="34" customHeight="1">
      <c r="A14" t="inlineStr">
        <is>
          <t>Conditional formatting</t>
        </is>
      </c>
      <c r="B14" s="3" t="inlineStr">
        <is>
          <t>Highlight unusually low profit or large discounts</t>
        </is>
      </c>
      <c r="C14" s="3" t="inlineStr">
        <is>
          <t>Use Home &gt; Conditional Formatting</t>
        </is>
      </c>
      <c r="D14" t="inlineStr"/>
    </row>
    <row r="15" ht="34" customHeight="1">
      <c r="A15" t="inlineStr">
        <is>
          <t>PivotTable</t>
        </is>
      </c>
      <c r="B15" s="3" t="inlineStr">
        <is>
          <t>Summarise Net_Sales by Region and Category</t>
        </is>
      </c>
      <c r="C15" s="3" t="inlineStr">
        <is>
          <t>Insert &gt; PivotTable</t>
        </is>
      </c>
      <c r="D15" t="inlineStr"/>
    </row>
    <row r="16" ht="34" customHeight="1">
      <c r="A16" t="inlineStr">
        <is>
          <t>Dashboard</t>
        </is>
      </c>
      <c r="B16" s="3" t="inlineStr">
        <is>
          <t>Show total sales, total profit, order count, average order value</t>
        </is>
      </c>
      <c r="C16" s="3" t="inlineStr">
        <is>
          <t>Use formulas, PivotCharts and slicers</t>
        </is>
      </c>
      <c r="D16" t="inlineStr"/>
    </row>
    <row r="17" ht="34" customHeight="1">
      <c r="A17" t="inlineStr">
        <is>
          <t>What-If Analysis</t>
        </is>
      </c>
      <c r="B17" s="3" t="inlineStr">
        <is>
          <t>Find the sales required to reach a chosen profit goal</t>
        </is>
      </c>
      <c r="C17" s="3" t="inlineStr">
        <is>
          <t>Data &gt; What-If Analysis &gt; Goal Seek</t>
        </is>
      </c>
      <c r="D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9" t="inlineStr">
        <is>
          <t>RETAIL SALES &amp; PROFITABILITY DASHBOARD</t>
        </is>
      </c>
    </row>
    <row r="3">
      <c r="A3" s="10" t="inlineStr">
        <is>
          <t>Build this dashboard after adding calculated columns and PivotTables.</t>
        </is>
      </c>
    </row>
    <row r="5">
      <c r="A5" s="11" t="inlineStr">
        <is>
          <t>KPI</t>
        </is>
      </c>
      <c r="B5" s="11" t="inlineStr">
        <is>
          <t>Value / Formula</t>
        </is>
      </c>
    </row>
    <row r="6">
      <c r="A6" s="12" t="inlineStr">
        <is>
          <t>Total Net Sales</t>
        </is>
      </c>
      <c r="B6" s="13">
        <f>IFERROR(SUM(SalesTable[Net_Sales]),"Add Net_Sales column first")</f>
        <v/>
      </c>
    </row>
    <row r="7">
      <c r="A7" s="12" t="inlineStr">
        <is>
          <t>Total Gross Profit</t>
        </is>
      </c>
      <c r="B7" s="13">
        <f>IFERROR(SUM(SalesTable[Gross_Profit]),"Add Gross_Profit column first")</f>
        <v/>
      </c>
    </row>
    <row r="8">
      <c r="A8" s="12" t="inlineStr">
        <is>
          <t>Completed Orders</t>
        </is>
      </c>
      <c r="B8" s="13">
        <f>COUNTIF(SalesTable[Order_Status],"Completed")</f>
        <v/>
      </c>
    </row>
    <row r="9">
      <c r="A9" s="12" t="inlineStr">
        <is>
          <t>Average Net Sales per Order</t>
        </is>
      </c>
      <c r="B9" s="13">
        <f>IFERROR(AVERAGE(SalesTable[Net_Sales]),"Add Net_Sales column first")</f>
        <v/>
      </c>
    </row>
  </sheetData>
  <mergeCells count="2">
    <mergeCell ref="A3:H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2026-10-22T11:26:28Z</dcterms:created>
  <dcterms:modified xmlns:dcterms="http://purl.org/dc/terms/" xmlns:xsi="http://www.w3.org/2001/XMLSchema-instance" xsi:type="dcterms:W3CDTF">2026-10-22T11:26:28Z</dcterms:modified>
</cp:coreProperties>
</file>